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edha\Downloads\"/>
    </mc:Choice>
  </mc:AlternateContent>
  <xr:revisionPtr revIDLastSave="0" documentId="8_{B5894847-C267-4441-86FB-59AFF75A51C1}" xr6:coauthVersionLast="47" xr6:coauthVersionMax="47" xr10:uidLastSave="{00000000-0000-0000-0000-000000000000}"/>
  <bookViews>
    <workbookView xWindow="-96" yWindow="-96" windowWidth="19392" windowHeight="10272" activeTab="4" xr2:uid="{00000000-000D-0000-FFFF-FFFF00000000}"/>
  </bookViews>
  <sheets>
    <sheet name="Census" sheetId="1" r:id="rId1"/>
    <sheet name="Female_Employees" sheetId="2" r:id="rId2"/>
    <sheet name="Male_Employees" sheetId="3" r:id="rId3"/>
    <sheet name="Occupation_Pivot" sheetId="4" r:id="rId4"/>
    <sheet name="Salary_Pivot" sheetId="5" r:id="rId5"/>
    <sheet name="Data_Analysis" sheetId="6" r:id="rId6"/>
  </sheets>
  <definedNames>
    <definedName name="_xlnm._FilterDatabase" localSheetId="0" hidden="1">Census!$A$1:$O$748</definedName>
    <definedName name="_xlnm._FilterDatabase" localSheetId="2" hidden="1">Male_Employees!$A$1:$L$321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8" i="1" l="1"/>
  <c r="O67" i="1"/>
  <c r="O90" i="1"/>
  <c r="O110" i="1"/>
  <c r="O142" i="1"/>
  <c r="O164" i="1"/>
  <c r="O186" i="1"/>
  <c r="O218" i="1"/>
  <c r="O238" i="1"/>
  <c r="O303" i="1"/>
  <c r="O335" i="1"/>
  <c r="O455" i="1"/>
  <c r="O463" i="1"/>
  <c r="O487" i="1"/>
  <c r="O495" i="1"/>
  <c r="O519" i="1"/>
  <c r="O527" i="1"/>
  <c r="O551" i="1"/>
  <c r="O559" i="1"/>
  <c r="O583" i="1"/>
  <c r="O591" i="1"/>
  <c r="O615" i="1"/>
  <c r="O623" i="1"/>
  <c r="O639" i="1"/>
  <c r="O644" i="1"/>
  <c r="O655" i="1"/>
  <c r="O660" i="1"/>
  <c r="O671" i="1"/>
  <c r="O676" i="1"/>
  <c r="O687" i="1"/>
  <c r="O692" i="1"/>
  <c r="O703" i="1"/>
  <c r="O708" i="1"/>
  <c r="O719" i="1"/>
  <c r="O724" i="1"/>
  <c r="O735" i="1"/>
  <c r="O740" i="1"/>
  <c r="N16" i="1"/>
  <c r="O16" i="1" s="1"/>
  <c r="N17" i="1"/>
  <c r="O17" i="1" s="1"/>
  <c r="N18" i="1"/>
  <c r="O18" i="1" s="1"/>
  <c r="N19" i="1"/>
  <c r="O19" i="1" s="1"/>
  <c r="N20" i="1"/>
  <c r="O20" i="1" s="1"/>
  <c r="N21" i="1"/>
  <c r="O21" i="1" s="1"/>
  <c r="N22" i="1"/>
  <c r="O22" i="1" s="1"/>
  <c r="N23" i="1"/>
  <c r="O23" i="1" s="1"/>
  <c r="N24" i="1"/>
  <c r="O24" i="1" s="1"/>
  <c r="N25" i="1"/>
  <c r="O25" i="1" s="1"/>
  <c r="N26" i="1"/>
  <c r="O26" i="1" s="1"/>
  <c r="N27" i="1"/>
  <c r="O27" i="1" s="1"/>
  <c r="N28" i="1"/>
  <c r="O28" i="1" s="1"/>
  <c r="N29" i="1"/>
  <c r="O29" i="1" s="1"/>
  <c r="N30" i="1"/>
  <c r="O30" i="1" s="1"/>
  <c r="N31" i="1"/>
  <c r="O31" i="1" s="1"/>
  <c r="N32" i="1"/>
  <c r="O32" i="1" s="1"/>
  <c r="N33" i="1"/>
  <c r="O33" i="1" s="1"/>
  <c r="N34" i="1"/>
  <c r="O34" i="1" s="1"/>
  <c r="N35" i="1"/>
  <c r="O35" i="1" s="1"/>
  <c r="N36" i="1"/>
  <c r="O36" i="1" s="1"/>
  <c r="N37" i="1"/>
  <c r="O37" i="1" s="1"/>
  <c r="N38" i="1"/>
  <c r="O38" i="1" s="1"/>
  <c r="N39" i="1"/>
  <c r="O39" i="1" s="1"/>
  <c r="N40" i="1"/>
  <c r="O40" i="1" s="1"/>
  <c r="N41" i="1"/>
  <c r="O41" i="1" s="1"/>
  <c r="N42" i="1"/>
  <c r="O42" i="1" s="1"/>
  <c r="N43" i="1"/>
  <c r="O43" i="1" s="1"/>
  <c r="N44" i="1"/>
  <c r="O44" i="1" s="1"/>
  <c r="N45" i="1"/>
  <c r="O45" i="1" s="1"/>
  <c r="N46" i="1"/>
  <c r="O46" i="1" s="1"/>
  <c r="N47" i="1"/>
  <c r="O47" i="1" s="1"/>
  <c r="N48" i="1"/>
  <c r="O48" i="1" s="1"/>
  <c r="N49" i="1"/>
  <c r="O49" i="1" s="1"/>
  <c r="N50" i="1"/>
  <c r="O50" i="1" s="1"/>
  <c r="N51" i="1"/>
  <c r="O51" i="1" s="1"/>
  <c r="N52" i="1"/>
  <c r="O52" i="1" s="1"/>
  <c r="N53" i="1"/>
  <c r="O53" i="1" s="1"/>
  <c r="N54" i="1"/>
  <c r="O54" i="1" s="1"/>
  <c r="N55" i="1"/>
  <c r="O55" i="1" s="1"/>
  <c r="N56" i="1"/>
  <c r="O56" i="1" s="1"/>
  <c r="N57" i="1"/>
  <c r="O57" i="1" s="1"/>
  <c r="N58" i="1"/>
  <c r="N59" i="1"/>
  <c r="O59" i="1" s="1"/>
  <c r="N60" i="1"/>
  <c r="O60" i="1" s="1"/>
  <c r="N61" i="1"/>
  <c r="O61" i="1" s="1"/>
  <c r="N62" i="1"/>
  <c r="O62" i="1" s="1"/>
  <c r="N63" i="1"/>
  <c r="O63" i="1" s="1"/>
  <c r="N64" i="1"/>
  <c r="O64" i="1" s="1"/>
  <c r="N65" i="1"/>
  <c r="O65" i="1" s="1"/>
  <c r="N66" i="1"/>
  <c r="O66" i="1" s="1"/>
  <c r="N67" i="1"/>
  <c r="N68" i="1"/>
  <c r="O68" i="1" s="1"/>
  <c r="N69" i="1"/>
  <c r="O69" i="1" s="1"/>
  <c r="N70" i="1"/>
  <c r="O70" i="1" s="1"/>
  <c r="N71" i="1"/>
  <c r="O71" i="1" s="1"/>
  <c r="N72" i="1"/>
  <c r="O72" i="1" s="1"/>
  <c r="N73" i="1"/>
  <c r="O73" i="1" s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85" i="1"/>
  <c r="O85" i="1" s="1"/>
  <c r="N86" i="1"/>
  <c r="O86" i="1" s="1"/>
  <c r="N87" i="1"/>
  <c r="O87" i="1" s="1"/>
  <c r="N88" i="1"/>
  <c r="O88" i="1" s="1"/>
  <c r="N89" i="1"/>
  <c r="O89" i="1" s="1"/>
  <c r="N90" i="1"/>
  <c r="N91" i="1"/>
  <c r="O91" i="1" s="1"/>
  <c r="N92" i="1"/>
  <c r="O92" i="1" s="1"/>
  <c r="N93" i="1"/>
  <c r="O93" i="1" s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N118" i="1"/>
  <c r="O118" i="1" s="1"/>
  <c r="N119" i="1"/>
  <c r="O119" i="1" s="1"/>
  <c r="N120" i="1"/>
  <c r="O120" i="1" s="1"/>
  <c r="N121" i="1"/>
  <c r="O121" i="1" s="1"/>
  <c r="N122" i="1"/>
  <c r="O122" i="1" s="1"/>
  <c r="N123" i="1"/>
  <c r="O123" i="1" s="1"/>
  <c r="N124" i="1"/>
  <c r="O124" i="1" s="1"/>
  <c r="N125" i="1"/>
  <c r="O125" i="1" s="1"/>
  <c r="N126" i="1"/>
  <c r="O126" i="1" s="1"/>
  <c r="N127" i="1"/>
  <c r="O127" i="1" s="1"/>
  <c r="N128" i="1"/>
  <c r="O128" i="1" s="1"/>
  <c r="N129" i="1"/>
  <c r="O129" i="1" s="1"/>
  <c r="N130" i="1"/>
  <c r="O130" i="1" s="1"/>
  <c r="N131" i="1"/>
  <c r="O131" i="1" s="1"/>
  <c r="N132" i="1"/>
  <c r="O132" i="1" s="1"/>
  <c r="N133" i="1"/>
  <c r="O133" i="1" s="1"/>
  <c r="N134" i="1"/>
  <c r="O134" i="1" s="1"/>
  <c r="N135" i="1"/>
  <c r="O135" i="1" s="1"/>
  <c r="N136" i="1"/>
  <c r="O136" i="1" s="1"/>
  <c r="N137" i="1"/>
  <c r="O137" i="1" s="1"/>
  <c r="N138" i="1"/>
  <c r="O138" i="1" s="1"/>
  <c r="N139" i="1"/>
  <c r="O139" i="1" s="1"/>
  <c r="N140" i="1"/>
  <c r="O140" i="1" s="1"/>
  <c r="N141" i="1"/>
  <c r="O141" i="1" s="1"/>
  <c r="N142" i="1"/>
  <c r="N143" i="1"/>
  <c r="O143" i="1" s="1"/>
  <c r="N144" i="1"/>
  <c r="O144" i="1" s="1"/>
  <c r="N145" i="1"/>
  <c r="O145" i="1" s="1"/>
  <c r="N146" i="1"/>
  <c r="O146" i="1" s="1"/>
  <c r="N147" i="1"/>
  <c r="O147" i="1" s="1"/>
  <c r="N148" i="1"/>
  <c r="O148" i="1" s="1"/>
  <c r="N149" i="1"/>
  <c r="O149" i="1" s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N163" i="1"/>
  <c r="O163" i="1" s="1"/>
  <c r="N164" i="1"/>
  <c r="N165" i="1"/>
  <c r="O165" i="1" s="1"/>
  <c r="N166" i="1"/>
  <c r="O166" i="1" s="1"/>
  <c r="N167" i="1"/>
  <c r="O167" i="1" s="1"/>
  <c r="N168" i="1"/>
  <c r="O168" i="1" s="1"/>
  <c r="N169" i="1"/>
  <c r="O169" i="1" s="1"/>
  <c r="N170" i="1"/>
  <c r="O170" i="1" s="1"/>
  <c r="N171" i="1"/>
  <c r="O171" i="1" s="1"/>
  <c r="N172" i="1"/>
  <c r="O172" i="1" s="1"/>
  <c r="N173" i="1"/>
  <c r="O173" i="1" s="1"/>
  <c r="N174" i="1"/>
  <c r="O174" i="1" s="1"/>
  <c r="N175" i="1"/>
  <c r="O175" i="1" s="1"/>
  <c r="N176" i="1"/>
  <c r="O176" i="1" s="1"/>
  <c r="N177" i="1"/>
  <c r="O177" i="1" s="1"/>
  <c r="N178" i="1"/>
  <c r="O178" i="1" s="1"/>
  <c r="N179" i="1"/>
  <c r="O179" i="1" s="1"/>
  <c r="N180" i="1"/>
  <c r="O180" i="1" s="1"/>
  <c r="N181" i="1"/>
  <c r="O181" i="1" s="1"/>
  <c r="N182" i="1"/>
  <c r="O182" i="1" s="1"/>
  <c r="N183" i="1"/>
  <c r="O183" i="1" s="1"/>
  <c r="N184" i="1"/>
  <c r="O184" i="1" s="1"/>
  <c r="N185" i="1"/>
  <c r="O185" i="1" s="1"/>
  <c r="N186" i="1"/>
  <c r="N187" i="1"/>
  <c r="O187" i="1" s="1"/>
  <c r="N188" i="1"/>
  <c r="O188" i="1" s="1"/>
  <c r="N189" i="1"/>
  <c r="O189" i="1" s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N198" i="1"/>
  <c r="O198" i="1" s="1"/>
  <c r="N199" i="1"/>
  <c r="O199" i="1" s="1"/>
  <c r="N200" i="1"/>
  <c r="O200" i="1" s="1"/>
  <c r="N201" i="1"/>
  <c r="O201" i="1" s="1"/>
  <c r="N202" i="1"/>
  <c r="O202" i="1" s="1"/>
  <c r="N203" i="1"/>
  <c r="O203" i="1" s="1"/>
  <c r="N204" i="1"/>
  <c r="O204" i="1" s="1"/>
  <c r="N205" i="1"/>
  <c r="O205" i="1" s="1"/>
  <c r="N206" i="1"/>
  <c r="O206" i="1" s="1"/>
  <c r="N207" i="1"/>
  <c r="O207" i="1" s="1"/>
  <c r="N208" i="1"/>
  <c r="O208" i="1" s="1"/>
  <c r="N209" i="1"/>
  <c r="O209" i="1" s="1"/>
  <c r="N210" i="1"/>
  <c r="O210" i="1" s="1"/>
  <c r="N211" i="1"/>
  <c r="O211" i="1" s="1"/>
  <c r="N212" i="1"/>
  <c r="O212" i="1" s="1"/>
  <c r="N213" i="1"/>
  <c r="O213" i="1" s="1"/>
  <c r="N214" i="1"/>
  <c r="O214" i="1" s="1"/>
  <c r="N215" i="1"/>
  <c r="O215" i="1" s="1"/>
  <c r="N216" i="1"/>
  <c r="O216" i="1" s="1"/>
  <c r="N217" i="1"/>
  <c r="O217" i="1" s="1"/>
  <c r="N218" i="1"/>
  <c r="N219" i="1"/>
  <c r="O219" i="1" s="1"/>
  <c r="N220" i="1"/>
  <c r="O220" i="1" s="1"/>
  <c r="N221" i="1"/>
  <c r="O221" i="1" s="1"/>
  <c r="N222" i="1"/>
  <c r="O222" i="1" s="1"/>
  <c r="N223" i="1"/>
  <c r="O223" i="1" s="1"/>
  <c r="N224" i="1"/>
  <c r="O224" i="1" s="1"/>
  <c r="N225" i="1"/>
  <c r="O225" i="1" s="1"/>
  <c r="N226" i="1"/>
  <c r="O226" i="1" s="1"/>
  <c r="N227" i="1"/>
  <c r="O227" i="1" s="1"/>
  <c r="N228" i="1"/>
  <c r="O228" i="1" s="1"/>
  <c r="N229" i="1"/>
  <c r="O229" i="1" s="1"/>
  <c r="N230" i="1"/>
  <c r="O230" i="1" s="1"/>
  <c r="N231" i="1"/>
  <c r="O231" i="1" s="1"/>
  <c r="N232" i="1"/>
  <c r="O232" i="1" s="1"/>
  <c r="N233" i="1"/>
  <c r="O233" i="1" s="1"/>
  <c r="N234" i="1"/>
  <c r="O234" i="1" s="1"/>
  <c r="N235" i="1"/>
  <c r="O235" i="1" s="1"/>
  <c r="N236" i="1"/>
  <c r="O236" i="1" s="1"/>
  <c r="N237" i="1"/>
  <c r="O237" i="1" s="1"/>
  <c r="N238" i="1"/>
  <c r="N239" i="1"/>
  <c r="O239" i="1" s="1"/>
  <c r="N240" i="1"/>
  <c r="O240" i="1" s="1"/>
  <c r="N241" i="1"/>
  <c r="O241" i="1" s="1"/>
  <c r="N242" i="1"/>
  <c r="O242" i="1" s="1"/>
  <c r="N243" i="1"/>
  <c r="O243" i="1" s="1"/>
  <c r="N244" i="1"/>
  <c r="O244" i="1" s="1"/>
  <c r="N245" i="1"/>
  <c r="O245" i="1" s="1"/>
  <c r="N246" i="1"/>
  <c r="O246" i="1" s="1"/>
  <c r="N247" i="1"/>
  <c r="O247" i="1" s="1"/>
  <c r="N248" i="1"/>
  <c r="O248" i="1" s="1"/>
  <c r="N249" i="1"/>
  <c r="O249" i="1" s="1"/>
  <c r="N250" i="1"/>
  <c r="O250" i="1" s="1"/>
  <c r="N251" i="1"/>
  <c r="O251" i="1" s="1"/>
  <c r="N252" i="1"/>
  <c r="O252" i="1" s="1"/>
  <c r="N253" i="1"/>
  <c r="O253" i="1" s="1"/>
  <c r="N254" i="1"/>
  <c r="O254" i="1" s="1"/>
  <c r="N255" i="1"/>
  <c r="O255" i="1" s="1"/>
  <c r="N256" i="1"/>
  <c r="O256" i="1" s="1"/>
  <c r="N257" i="1"/>
  <c r="O257" i="1" s="1"/>
  <c r="N258" i="1"/>
  <c r="O258" i="1" s="1"/>
  <c r="N259" i="1"/>
  <c r="O259" i="1" s="1"/>
  <c r="N260" i="1"/>
  <c r="O260" i="1" s="1"/>
  <c r="N261" i="1"/>
  <c r="O261" i="1" s="1"/>
  <c r="N262" i="1"/>
  <c r="O262" i="1" s="1"/>
  <c r="N263" i="1"/>
  <c r="O263" i="1" s="1"/>
  <c r="N264" i="1"/>
  <c r="O264" i="1" s="1"/>
  <c r="N265" i="1"/>
  <c r="O265" i="1" s="1"/>
  <c r="N266" i="1"/>
  <c r="O266" i="1" s="1"/>
  <c r="N267" i="1"/>
  <c r="O267" i="1" s="1"/>
  <c r="N268" i="1"/>
  <c r="O268" i="1" s="1"/>
  <c r="N269" i="1"/>
  <c r="O269" i="1" s="1"/>
  <c r="N270" i="1"/>
  <c r="O270" i="1" s="1"/>
  <c r="N271" i="1"/>
  <c r="O271" i="1" s="1"/>
  <c r="N272" i="1"/>
  <c r="O272" i="1" s="1"/>
  <c r="N273" i="1"/>
  <c r="O273" i="1" s="1"/>
  <c r="N274" i="1"/>
  <c r="O274" i="1" s="1"/>
  <c r="N275" i="1"/>
  <c r="O275" i="1" s="1"/>
  <c r="N276" i="1"/>
  <c r="O276" i="1" s="1"/>
  <c r="N277" i="1"/>
  <c r="O277" i="1" s="1"/>
  <c r="N278" i="1"/>
  <c r="O278" i="1" s="1"/>
  <c r="N279" i="1"/>
  <c r="O279" i="1" s="1"/>
  <c r="N280" i="1"/>
  <c r="O280" i="1" s="1"/>
  <c r="N281" i="1"/>
  <c r="O281" i="1" s="1"/>
  <c r="N282" i="1"/>
  <c r="O282" i="1" s="1"/>
  <c r="N283" i="1"/>
  <c r="O283" i="1" s="1"/>
  <c r="N284" i="1"/>
  <c r="O284" i="1" s="1"/>
  <c r="N285" i="1"/>
  <c r="O285" i="1" s="1"/>
  <c r="N286" i="1"/>
  <c r="O286" i="1" s="1"/>
  <c r="N287" i="1"/>
  <c r="O287" i="1" s="1"/>
  <c r="N288" i="1"/>
  <c r="O288" i="1" s="1"/>
  <c r="N289" i="1"/>
  <c r="O289" i="1" s="1"/>
  <c r="N290" i="1"/>
  <c r="O290" i="1" s="1"/>
  <c r="N291" i="1"/>
  <c r="O291" i="1" s="1"/>
  <c r="N292" i="1"/>
  <c r="O292" i="1" s="1"/>
  <c r="N293" i="1"/>
  <c r="O293" i="1" s="1"/>
  <c r="N294" i="1"/>
  <c r="O294" i="1" s="1"/>
  <c r="N295" i="1"/>
  <c r="O295" i="1" s="1"/>
  <c r="N296" i="1"/>
  <c r="O296" i="1" s="1"/>
  <c r="N297" i="1"/>
  <c r="O297" i="1" s="1"/>
  <c r="N298" i="1"/>
  <c r="O298" i="1" s="1"/>
  <c r="N299" i="1"/>
  <c r="O299" i="1" s="1"/>
  <c r="N300" i="1"/>
  <c r="O300" i="1" s="1"/>
  <c r="N301" i="1"/>
  <c r="O301" i="1" s="1"/>
  <c r="N302" i="1"/>
  <c r="O302" i="1" s="1"/>
  <c r="N303" i="1"/>
  <c r="N304" i="1"/>
  <c r="O304" i="1" s="1"/>
  <c r="N305" i="1"/>
  <c r="O305" i="1" s="1"/>
  <c r="N306" i="1"/>
  <c r="O306" i="1" s="1"/>
  <c r="N307" i="1"/>
  <c r="O307" i="1" s="1"/>
  <c r="N308" i="1"/>
  <c r="O308" i="1" s="1"/>
  <c r="N309" i="1"/>
  <c r="O309" i="1" s="1"/>
  <c r="N310" i="1"/>
  <c r="O310" i="1" s="1"/>
  <c r="N311" i="1"/>
  <c r="O311" i="1" s="1"/>
  <c r="N312" i="1"/>
  <c r="O312" i="1" s="1"/>
  <c r="N313" i="1"/>
  <c r="O313" i="1" s="1"/>
  <c r="N314" i="1"/>
  <c r="O314" i="1" s="1"/>
  <c r="N315" i="1"/>
  <c r="O315" i="1" s="1"/>
  <c r="N316" i="1"/>
  <c r="O316" i="1" s="1"/>
  <c r="N317" i="1"/>
  <c r="O317" i="1" s="1"/>
  <c r="N318" i="1"/>
  <c r="O318" i="1" s="1"/>
  <c r="N319" i="1"/>
  <c r="O319" i="1" s="1"/>
  <c r="N320" i="1"/>
  <c r="O320" i="1" s="1"/>
  <c r="N321" i="1"/>
  <c r="O321" i="1" s="1"/>
  <c r="N322" i="1"/>
  <c r="O322" i="1" s="1"/>
  <c r="N323" i="1"/>
  <c r="O323" i="1" s="1"/>
  <c r="N324" i="1"/>
  <c r="O324" i="1" s="1"/>
  <c r="N325" i="1"/>
  <c r="O325" i="1" s="1"/>
  <c r="N326" i="1"/>
  <c r="O326" i="1" s="1"/>
  <c r="N327" i="1"/>
  <c r="O327" i="1" s="1"/>
  <c r="N328" i="1"/>
  <c r="O328" i="1" s="1"/>
  <c r="N329" i="1"/>
  <c r="O329" i="1" s="1"/>
  <c r="N330" i="1"/>
  <c r="O330" i="1" s="1"/>
  <c r="N331" i="1"/>
  <c r="O331" i="1" s="1"/>
  <c r="N332" i="1"/>
  <c r="O332" i="1" s="1"/>
  <c r="N333" i="1"/>
  <c r="O333" i="1" s="1"/>
  <c r="N334" i="1"/>
  <c r="O334" i="1" s="1"/>
  <c r="N335" i="1"/>
  <c r="N336" i="1"/>
  <c r="O336" i="1" s="1"/>
  <c r="N337" i="1"/>
  <c r="O337" i="1" s="1"/>
  <c r="N338" i="1"/>
  <c r="O338" i="1" s="1"/>
  <c r="N339" i="1"/>
  <c r="O339" i="1" s="1"/>
  <c r="N340" i="1"/>
  <c r="O340" i="1" s="1"/>
  <c r="N341" i="1"/>
  <c r="O341" i="1" s="1"/>
  <c r="N342" i="1"/>
  <c r="O342" i="1" s="1"/>
  <c r="N343" i="1"/>
  <c r="O343" i="1" s="1"/>
  <c r="N344" i="1"/>
  <c r="O344" i="1" s="1"/>
  <c r="N345" i="1"/>
  <c r="O345" i="1" s="1"/>
  <c r="N346" i="1"/>
  <c r="O346" i="1" s="1"/>
  <c r="N347" i="1"/>
  <c r="O347" i="1" s="1"/>
  <c r="N348" i="1"/>
  <c r="O348" i="1" s="1"/>
  <c r="N349" i="1"/>
  <c r="O349" i="1" s="1"/>
  <c r="N350" i="1"/>
  <c r="O350" i="1" s="1"/>
  <c r="N351" i="1"/>
  <c r="O351" i="1" s="1"/>
  <c r="N352" i="1"/>
  <c r="O352" i="1" s="1"/>
  <c r="N353" i="1"/>
  <c r="O353" i="1" s="1"/>
  <c r="N354" i="1"/>
  <c r="O354" i="1" s="1"/>
  <c r="N355" i="1"/>
  <c r="O355" i="1" s="1"/>
  <c r="N356" i="1"/>
  <c r="O356" i="1" s="1"/>
  <c r="N357" i="1"/>
  <c r="O357" i="1" s="1"/>
  <c r="N358" i="1"/>
  <c r="O358" i="1" s="1"/>
  <c r="N359" i="1"/>
  <c r="O359" i="1" s="1"/>
  <c r="N360" i="1"/>
  <c r="O360" i="1" s="1"/>
  <c r="N361" i="1"/>
  <c r="O361" i="1" s="1"/>
  <c r="N362" i="1"/>
  <c r="O362" i="1" s="1"/>
  <c r="N363" i="1"/>
  <c r="O363" i="1" s="1"/>
  <c r="N364" i="1"/>
  <c r="O364" i="1" s="1"/>
  <c r="N365" i="1"/>
  <c r="O365" i="1" s="1"/>
  <c r="N366" i="1"/>
  <c r="O366" i="1" s="1"/>
  <c r="N367" i="1"/>
  <c r="O367" i="1" s="1"/>
  <c r="N368" i="1"/>
  <c r="O368" i="1" s="1"/>
  <c r="N369" i="1"/>
  <c r="O369" i="1" s="1"/>
  <c r="N370" i="1"/>
  <c r="O370" i="1" s="1"/>
  <c r="N371" i="1"/>
  <c r="O371" i="1" s="1"/>
  <c r="N372" i="1"/>
  <c r="O372" i="1" s="1"/>
  <c r="N373" i="1"/>
  <c r="O373" i="1" s="1"/>
  <c r="N374" i="1"/>
  <c r="O374" i="1" s="1"/>
  <c r="N375" i="1"/>
  <c r="O375" i="1" s="1"/>
  <c r="N376" i="1"/>
  <c r="O376" i="1" s="1"/>
  <c r="N377" i="1"/>
  <c r="O377" i="1" s="1"/>
  <c r="N378" i="1"/>
  <c r="O378" i="1" s="1"/>
  <c r="N379" i="1"/>
  <c r="O379" i="1" s="1"/>
  <c r="N380" i="1"/>
  <c r="O380" i="1" s="1"/>
  <c r="N381" i="1"/>
  <c r="O381" i="1" s="1"/>
  <c r="N382" i="1"/>
  <c r="O382" i="1" s="1"/>
  <c r="N383" i="1"/>
  <c r="O383" i="1" s="1"/>
  <c r="N384" i="1"/>
  <c r="O384" i="1" s="1"/>
  <c r="N385" i="1"/>
  <c r="O385" i="1" s="1"/>
  <c r="N386" i="1"/>
  <c r="O386" i="1" s="1"/>
  <c r="N387" i="1"/>
  <c r="O387" i="1" s="1"/>
  <c r="N388" i="1"/>
  <c r="O388" i="1" s="1"/>
  <c r="N389" i="1"/>
  <c r="O389" i="1" s="1"/>
  <c r="N390" i="1"/>
  <c r="O390" i="1" s="1"/>
  <c r="N391" i="1"/>
  <c r="O391" i="1" s="1"/>
  <c r="N392" i="1"/>
  <c r="O392" i="1" s="1"/>
  <c r="N393" i="1"/>
  <c r="O393" i="1" s="1"/>
  <c r="N394" i="1"/>
  <c r="O394" i="1" s="1"/>
  <c r="N395" i="1"/>
  <c r="O395" i="1" s="1"/>
  <c r="N396" i="1"/>
  <c r="O396" i="1" s="1"/>
  <c r="N397" i="1"/>
  <c r="O397" i="1" s="1"/>
  <c r="N398" i="1"/>
  <c r="O398" i="1" s="1"/>
  <c r="N399" i="1"/>
  <c r="O399" i="1" s="1"/>
  <c r="N400" i="1"/>
  <c r="O400" i="1" s="1"/>
  <c r="N401" i="1"/>
  <c r="O401" i="1" s="1"/>
  <c r="N402" i="1"/>
  <c r="O402" i="1" s="1"/>
  <c r="N403" i="1"/>
  <c r="O403" i="1" s="1"/>
  <c r="N404" i="1"/>
  <c r="O404" i="1" s="1"/>
  <c r="N405" i="1"/>
  <c r="O405" i="1" s="1"/>
  <c r="N406" i="1"/>
  <c r="O406" i="1" s="1"/>
  <c r="N407" i="1"/>
  <c r="O407" i="1" s="1"/>
  <c r="N408" i="1"/>
  <c r="O408" i="1" s="1"/>
  <c r="N409" i="1"/>
  <c r="O409" i="1" s="1"/>
  <c r="N410" i="1"/>
  <c r="O410" i="1" s="1"/>
  <c r="N411" i="1"/>
  <c r="O411" i="1" s="1"/>
  <c r="N412" i="1"/>
  <c r="O412" i="1" s="1"/>
  <c r="N413" i="1"/>
  <c r="O413" i="1" s="1"/>
  <c r="N414" i="1"/>
  <c r="O414" i="1" s="1"/>
  <c r="N415" i="1"/>
  <c r="O415" i="1" s="1"/>
  <c r="N416" i="1"/>
  <c r="O416" i="1" s="1"/>
  <c r="N417" i="1"/>
  <c r="O417" i="1" s="1"/>
  <c r="N418" i="1"/>
  <c r="O418" i="1" s="1"/>
  <c r="N419" i="1"/>
  <c r="O419" i="1" s="1"/>
  <c r="N420" i="1"/>
  <c r="O420" i="1" s="1"/>
  <c r="N421" i="1"/>
  <c r="O421" i="1" s="1"/>
  <c r="N422" i="1"/>
  <c r="O422" i="1" s="1"/>
  <c r="N423" i="1"/>
  <c r="O423" i="1" s="1"/>
  <c r="N424" i="1"/>
  <c r="O424" i="1" s="1"/>
  <c r="N425" i="1"/>
  <c r="O425" i="1" s="1"/>
  <c r="N426" i="1"/>
  <c r="O426" i="1" s="1"/>
  <c r="N427" i="1"/>
  <c r="O427" i="1" s="1"/>
  <c r="N428" i="1"/>
  <c r="O428" i="1" s="1"/>
  <c r="N429" i="1"/>
  <c r="O429" i="1" s="1"/>
  <c r="N430" i="1"/>
  <c r="O430" i="1" s="1"/>
  <c r="N431" i="1"/>
  <c r="O431" i="1" s="1"/>
  <c r="N432" i="1"/>
  <c r="O432" i="1" s="1"/>
  <c r="N433" i="1"/>
  <c r="O433" i="1" s="1"/>
  <c r="N434" i="1"/>
  <c r="O434" i="1" s="1"/>
  <c r="N435" i="1"/>
  <c r="O435" i="1" s="1"/>
  <c r="N436" i="1"/>
  <c r="O436" i="1" s="1"/>
  <c r="N437" i="1"/>
  <c r="O437" i="1" s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N444" i="1"/>
  <c r="O444" i="1" s="1"/>
  <c r="N445" i="1"/>
  <c r="O445" i="1" s="1"/>
  <c r="N446" i="1"/>
  <c r="O446" i="1" s="1"/>
  <c r="N447" i="1"/>
  <c r="O447" i="1" s="1"/>
  <c r="N448" i="1"/>
  <c r="O448" i="1" s="1"/>
  <c r="N449" i="1"/>
  <c r="O449" i="1" s="1"/>
  <c r="N450" i="1"/>
  <c r="O450" i="1" s="1"/>
  <c r="N451" i="1"/>
  <c r="O451" i="1" s="1"/>
  <c r="N452" i="1"/>
  <c r="O452" i="1" s="1"/>
  <c r="N453" i="1"/>
  <c r="O453" i="1" s="1"/>
  <c r="N454" i="1"/>
  <c r="O454" i="1" s="1"/>
  <c r="N455" i="1"/>
  <c r="N456" i="1"/>
  <c r="O456" i="1" s="1"/>
  <c r="N457" i="1"/>
  <c r="O457" i="1" s="1"/>
  <c r="N458" i="1"/>
  <c r="O458" i="1" s="1"/>
  <c r="N459" i="1"/>
  <c r="O459" i="1" s="1"/>
  <c r="N460" i="1"/>
  <c r="O460" i="1" s="1"/>
  <c r="N461" i="1"/>
  <c r="O461" i="1" s="1"/>
  <c r="N462" i="1"/>
  <c r="O462" i="1" s="1"/>
  <c r="N463" i="1"/>
  <c r="N464" i="1"/>
  <c r="O464" i="1" s="1"/>
  <c r="N465" i="1"/>
  <c r="O465" i="1" s="1"/>
  <c r="N466" i="1"/>
  <c r="O466" i="1" s="1"/>
  <c r="N467" i="1"/>
  <c r="O467" i="1" s="1"/>
  <c r="N468" i="1"/>
  <c r="O468" i="1" s="1"/>
  <c r="N469" i="1"/>
  <c r="O469" i="1" s="1"/>
  <c r="N470" i="1"/>
  <c r="O470" i="1" s="1"/>
  <c r="N471" i="1"/>
  <c r="O471" i="1" s="1"/>
  <c r="N472" i="1"/>
  <c r="O472" i="1" s="1"/>
  <c r="N473" i="1"/>
  <c r="O473" i="1" s="1"/>
  <c r="N474" i="1"/>
  <c r="O474" i="1" s="1"/>
  <c r="N475" i="1"/>
  <c r="O475" i="1" s="1"/>
  <c r="N476" i="1"/>
  <c r="O476" i="1" s="1"/>
  <c r="N477" i="1"/>
  <c r="O477" i="1" s="1"/>
  <c r="N478" i="1"/>
  <c r="O478" i="1" s="1"/>
  <c r="N479" i="1"/>
  <c r="O479" i="1" s="1"/>
  <c r="N480" i="1"/>
  <c r="O480" i="1" s="1"/>
  <c r="N481" i="1"/>
  <c r="O481" i="1" s="1"/>
  <c r="N482" i="1"/>
  <c r="O482" i="1" s="1"/>
  <c r="N483" i="1"/>
  <c r="O483" i="1" s="1"/>
  <c r="N484" i="1"/>
  <c r="O484" i="1" s="1"/>
  <c r="N485" i="1"/>
  <c r="O485" i="1" s="1"/>
  <c r="N486" i="1"/>
  <c r="O486" i="1" s="1"/>
  <c r="N487" i="1"/>
  <c r="N488" i="1"/>
  <c r="O488" i="1" s="1"/>
  <c r="N489" i="1"/>
  <c r="O489" i="1" s="1"/>
  <c r="N490" i="1"/>
  <c r="O490" i="1" s="1"/>
  <c r="N491" i="1"/>
  <c r="O491" i="1" s="1"/>
  <c r="N492" i="1"/>
  <c r="O492" i="1" s="1"/>
  <c r="N493" i="1"/>
  <c r="O493" i="1" s="1"/>
  <c r="N494" i="1"/>
  <c r="O494" i="1" s="1"/>
  <c r="N495" i="1"/>
  <c r="N496" i="1"/>
  <c r="O496" i="1" s="1"/>
  <c r="N497" i="1"/>
  <c r="O497" i="1" s="1"/>
  <c r="N498" i="1"/>
  <c r="O498" i="1" s="1"/>
  <c r="N499" i="1"/>
  <c r="O499" i="1" s="1"/>
  <c r="N500" i="1"/>
  <c r="O500" i="1" s="1"/>
  <c r="N501" i="1"/>
  <c r="O501" i="1" s="1"/>
  <c r="N502" i="1"/>
  <c r="O502" i="1" s="1"/>
  <c r="N503" i="1"/>
  <c r="O503" i="1" s="1"/>
  <c r="N504" i="1"/>
  <c r="O504" i="1" s="1"/>
  <c r="N505" i="1"/>
  <c r="O505" i="1" s="1"/>
  <c r="N506" i="1"/>
  <c r="O506" i="1" s="1"/>
  <c r="N507" i="1"/>
  <c r="O507" i="1" s="1"/>
  <c r="N508" i="1"/>
  <c r="O508" i="1" s="1"/>
  <c r="N509" i="1"/>
  <c r="O509" i="1" s="1"/>
  <c r="N510" i="1"/>
  <c r="O510" i="1" s="1"/>
  <c r="N511" i="1"/>
  <c r="O511" i="1" s="1"/>
  <c r="N512" i="1"/>
  <c r="O512" i="1" s="1"/>
  <c r="N513" i="1"/>
  <c r="O513" i="1" s="1"/>
  <c r="N514" i="1"/>
  <c r="O514" i="1" s="1"/>
  <c r="N515" i="1"/>
  <c r="O515" i="1" s="1"/>
  <c r="N516" i="1"/>
  <c r="O516" i="1" s="1"/>
  <c r="N517" i="1"/>
  <c r="O517" i="1" s="1"/>
  <c r="N518" i="1"/>
  <c r="O518" i="1" s="1"/>
  <c r="N519" i="1"/>
  <c r="N520" i="1"/>
  <c r="O520" i="1" s="1"/>
  <c r="N521" i="1"/>
  <c r="O521" i="1" s="1"/>
  <c r="N522" i="1"/>
  <c r="O522" i="1" s="1"/>
  <c r="N523" i="1"/>
  <c r="O523" i="1" s="1"/>
  <c r="N524" i="1"/>
  <c r="O524" i="1" s="1"/>
  <c r="N525" i="1"/>
  <c r="O525" i="1" s="1"/>
  <c r="N526" i="1"/>
  <c r="O526" i="1" s="1"/>
  <c r="N527" i="1"/>
  <c r="N528" i="1"/>
  <c r="O528" i="1" s="1"/>
  <c r="N529" i="1"/>
  <c r="O529" i="1" s="1"/>
  <c r="N530" i="1"/>
  <c r="O530" i="1" s="1"/>
  <c r="N531" i="1"/>
  <c r="O531" i="1" s="1"/>
  <c r="N532" i="1"/>
  <c r="O532" i="1" s="1"/>
  <c r="N533" i="1"/>
  <c r="O533" i="1" s="1"/>
  <c r="N534" i="1"/>
  <c r="O534" i="1" s="1"/>
  <c r="N535" i="1"/>
  <c r="O535" i="1" s="1"/>
  <c r="N536" i="1"/>
  <c r="O536" i="1" s="1"/>
  <c r="N537" i="1"/>
  <c r="O537" i="1" s="1"/>
  <c r="N538" i="1"/>
  <c r="O538" i="1" s="1"/>
  <c r="N539" i="1"/>
  <c r="O539" i="1" s="1"/>
  <c r="N540" i="1"/>
  <c r="O540" i="1" s="1"/>
  <c r="N541" i="1"/>
  <c r="O541" i="1" s="1"/>
  <c r="N542" i="1"/>
  <c r="O542" i="1" s="1"/>
  <c r="N543" i="1"/>
  <c r="O543" i="1" s="1"/>
  <c r="N544" i="1"/>
  <c r="O544" i="1" s="1"/>
  <c r="N545" i="1"/>
  <c r="O545" i="1" s="1"/>
  <c r="N546" i="1"/>
  <c r="O546" i="1" s="1"/>
  <c r="N547" i="1"/>
  <c r="O547" i="1" s="1"/>
  <c r="N548" i="1"/>
  <c r="O548" i="1" s="1"/>
  <c r="N549" i="1"/>
  <c r="O549" i="1" s="1"/>
  <c r="N550" i="1"/>
  <c r="O550" i="1" s="1"/>
  <c r="N551" i="1"/>
  <c r="N552" i="1"/>
  <c r="O552" i="1" s="1"/>
  <c r="N553" i="1"/>
  <c r="O553" i="1" s="1"/>
  <c r="N554" i="1"/>
  <c r="O554" i="1" s="1"/>
  <c r="N555" i="1"/>
  <c r="O555" i="1" s="1"/>
  <c r="N556" i="1"/>
  <c r="O556" i="1" s="1"/>
  <c r="N557" i="1"/>
  <c r="O557" i="1" s="1"/>
  <c r="N558" i="1"/>
  <c r="O558" i="1" s="1"/>
  <c r="N559" i="1"/>
  <c r="N560" i="1"/>
  <c r="O560" i="1" s="1"/>
  <c r="N561" i="1"/>
  <c r="O561" i="1" s="1"/>
  <c r="N562" i="1"/>
  <c r="O562" i="1" s="1"/>
  <c r="N563" i="1"/>
  <c r="O563" i="1" s="1"/>
  <c r="N564" i="1"/>
  <c r="O564" i="1" s="1"/>
  <c r="N565" i="1"/>
  <c r="O565" i="1" s="1"/>
  <c r="N566" i="1"/>
  <c r="O566" i="1" s="1"/>
  <c r="N567" i="1"/>
  <c r="O567" i="1" s="1"/>
  <c r="N568" i="1"/>
  <c r="O568" i="1" s="1"/>
  <c r="N569" i="1"/>
  <c r="O569" i="1" s="1"/>
  <c r="N570" i="1"/>
  <c r="O570" i="1" s="1"/>
  <c r="N571" i="1"/>
  <c r="O571" i="1" s="1"/>
  <c r="N572" i="1"/>
  <c r="O572" i="1" s="1"/>
  <c r="N573" i="1"/>
  <c r="O573" i="1" s="1"/>
  <c r="N574" i="1"/>
  <c r="O574" i="1" s="1"/>
  <c r="N575" i="1"/>
  <c r="O575" i="1" s="1"/>
  <c r="N576" i="1"/>
  <c r="O576" i="1" s="1"/>
  <c r="N577" i="1"/>
  <c r="O577" i="1" s="1"/>
  <c r="N578" i="1"/>
  <c r="O578" i="1" s="1"/>
  <c r="N579" i="1"/>
  <c r="O579" i="1" s="1"/>
  <c r="N580" i="1"/>
  <c r="O580" i="1" s="1"/>
  <c r="N581" i="1"/>
  <c r="O581" i="1" s="1"/>
  <c r="N582" i="1"/>
  <c r="O582" i="1" s="1"/>
  <c r="N583" i="1"/>
  <c r="N584" i="1"/>
  <c r="O584" i="1" s="1"/>
  <c r="N585" i="1"/>
  <c r="O585" i="1" s="1"/>
  <c r="N586" i="1"/>
  <c r="O586" i="1" s="1"/>
  <c r="N587" i="1"/>
  <c r="O587" i="1" s="1"/>
  <c r="N588" i="1"/>
  <c r="O588" i="1" s="1"/>
  <c r="N589" i="1"/>
  <c r="O589" i="1" s="1"/>
  <c r="N590" i="1"/>
  <c r="O590" i="1" s="1"/>
  <c r="N591" i="1"/>
  <c r="N592" i="1"/>
  <c r="O592" i="1" s="1"/>
  <c r="N593" i="1"/>
  <c r="O593" i="1" s="1"/>
  <c r="N594" i="1"/>
  <c r="O594" i="1" s="1"/>
  <c r="N595" i="1"/>
  <c r="O595" i="1" s="1"/>
  <c r="N596" i="1"/>
  <c r="O596" i="1" s="1"/>
  <c r="N597" i="1"/>
  <c r="O597" i="1" s="1"/>
  <c r="N598" i="1"/>
  <c r="O598" i="1" s="1"/>
  <c r="N599" i="1"/>
  <c r="O599" i="1" s="1"/>
  <c r="N600" i="1"/>
  <c r="O600" i="1" s="1"/>
  <c r="N601" i="1"/>
  <c r="O601" i="1" s="1"/>
  <c r="N602" i="1"/>
  <c r="O602" i="1" s="1"/>
  <c r="N603" i="1"/>
  <c r="O603" i="1" s="1"/>
  <c r="N604" i="1"/>
  <c r="O604" i="1" s="1"/>
  <c r="N605" i="1"/>
  <c r="O605" i="1" s="1"/>
  <c r="N606" i="1"/>
  <c r="O606" i="1" s="1"/>
  <c r="N607" i="1"/>
  <c r="O607" i="1" s="1"/>
  <c r="N608" i="1"/>
  <c r="O608" i="1" s="1"/>
  <c r="N609" i="1"/>
  <c r="O609" i="1" s="1"/>
  <c r="N610" i="1"/>
  <c r="O610" i="1" s="1"/>
  <c r="N611" i="1"/>
  <c r="O611" i="1" s="1"/>
  <c r="N612" i="1"/>
  <c r="O612" i="1" s="1"/>
  <c r="N613" i="1"/>
  <c r="O613" i="1" s="1"/>
  <c r="N614" i="1"/>
  <c r="O614" i="1" s="1"/>
  <c r="N615" i="1"/>
  <c r="N616" i="1"/>
  <c r="O616" i="1" s="1"/>
  <c r="N617" i="1"/>
  <c r="O617" i="1" s="1"/>
  <c r="N618" i="1"/>
  <c r="O618" i="1" s="1"/>
  <c r="N619" i="1"/>
  <c r="O619" i="1" s="1"/>
  <c r="N620" i="1"/>
  <c r="O620" i="1" s="1"/>
  <c r="N621" i="1"/>
  <c r="O621" i="1" s="1"/>
  <c r="N622" i="1"/>
  <c r="O622" i="1" s="1"/>
  <c r="N623" i="1"/>
  <c r="N624" i="1"/>
  <c r="O624" i="1" s="1"/>
  <c r="N625" i="1"/>
  <c r="O625" i="1" s="1"/>
  <c r="N626" i="1"/>
  <c r="O626" i="1" s="1"/>
  <c r="N627" i="1"/>
  <c r="O627" i="1" s="1"/>
  <c r="N628" i="1"/>
  <c r="O628" i="1" s="1"/>
  <c r="N629" i="1"/>
  <c r="O629" i="1" s="1"/>
  <c r="N630" i="1"/>
  <c r="O630" i="1" s="1"/>
  <c r="N631" i="1"/>
  <c r="O631" i="1" s="1"/>
  <c r="N632" i="1"/>
  <c r="O632" i="1" s="1"/>
  <c r="N633" i="1"/>
  <c r="O633" i="1" s="1"/>
  <c r="N634" i="1"/>
  <c r="O634" i="1" s="1"/>
  <c r="N635" i="1"/>
  <c r="O635" i="1" s="1"/>
  <c r="N636" i="1"/>
  <c r="O636" i="1" s="1"/>
  <c r="N637" i="1"/>
  <c r="O637" i="1" s="1"/>
  <c r="N638" i="1"/>
  <c r="O638" i="1" s="1"/>
  <c r="N639" i="1"/>
  <c r="N640" i="1"/>
  <c r="O640" i="1" s="1"/>
  <c r="N641" i="1"/>
  <c r="O641" i="1" s="1"/>
  <c r="N642" i="1"/>
  <c r="O642" i="1" s="1"/>
  <c r="N643" i="1"/>
  <c r="O643" i="1" s="1"/>
  <c r="N644" i="1"/>
  <c r="N645" i="1"/>
  <c r="O645" i="1" s="1"/>
  <c r="N646" i="1"/>
  <c r="O646" i="1" s="1"/>
  <c r="N647" i="1"/>
  <c r="O647" i="1" s="1"/>
  <c r="N648" i="1"/>
  <c r="O648" i="1" s="1"/>
  <c r="N649" i="1"/>
  <c r="O649" i="1" s="1"/>
  <c r="N650" i="1"/>
  <c r="O650" i="1" s="1"/>
  <c r="N651" i="1"/>
  <c r="O651" i="1" s="1"/>
  <c r="N652" i="1"/>
  <c r="O652" i="1" s="1"/>
  <c r="N653" i="1"/>
  <c r="O653" i="1" s="1"/>
  <c r="N654" i="1"/>
  <c r="O654" i="1" s="1"/>
  <c r="N655" i="1"/>
  <c r="N656" i="1"/>
  <c r="O656" i="1" s="1"/>
  <c r="N657" i="1"/>
  <c r="O657" i="1" s="1"/>
  <c r="N658" i="1"/>
  <c r="O658" i="1" s="1"/>
  <c r="N659" i="1"/>
  <c r="O659" i="1" s="1"/>
  <c r="N660" i="1"/>
  <c r="N661" i="1"/>
  <c r="O661" i="1" s="1"/>
  <c r="N662" i="1"/>
  <c r="O662" i="1" s="1"/>
  <c r="N663" i="1"/>
  <c r="O663" i="1" s="1"/>
  <c r="N664" i="1"/>
  <c r="O664" i="1" s="1"/>
  <c r="N665" i="1"/>
  <c r="O665" i="1" s="1"/>
  <c r="N666" i="1"/>
  <c r="O666" i="1" s="1"/>
  <c r="N667" i="1"/>
  <c r="O667" i="1" s="1"/>
  <c r="N668" i="1"/>
  <c r="O668" i="1" s="1"/>
  <c r="N669" i="1"/>
  <c r="O669" i="1" s="1"/>
  <c r="N670" i="1"/>
  <c r="O670" i="1" s="1"/>
  <c r="N671" i="1"/>
  <c r="N672" i="1"/>
  <c r="O672" i="1" s="1"/>
  <c r="N673" i="1"/>
  <c r="O673" i="1" s="1"/>
  <c r="N674" i="1"/>
  <c r="O674" i="1" s="1"/>
  <c r="N675" i="1"/>
  <c r="O675" i="1" s="1"/>
  <c r="N676" i="1"/>
  <c r="N677" i="1"/>
  <c r="O677" i="1" s="1"/>
  <c r="N678" i="1"/>
  <c r="O678" i="1" s="1"/>
  <c r="N679" i="1"/>
  <c r="O679" i="1" s="1"/>
  <c r="N680" i="1"/>
  <c r="O680" i="1" s="1"/>
  <c r="N681" i="1"/>
  <c r="O681" i="1" s="1"/>
  <c r="N682" i="1"/>
  <c r="O682" i="1" s="1"/>
  <c r="N683" i="1"/>
  <c r="O683" i="1" s="1"/>
  <c r="N684" i="1"/>
  <c r="O684" i="1" s="1"/>
  <c r="N685" i="1"/>
  <c r="O685" i="1" s="1"/>
  <c r="N686" i="1"/>
  <c r="O686" i="1" s="1"/>
  <c r="N687" i="1"/>
  <c r="N688" i="1"/>
  <c r="O688" i="1" s="1"/>
  <c r="N689" i="1"/>
  <c r="O689" i="1" s="1"/>
  <c r="N690" i="1"/>
  <c r="O690" i="1" s="1"/>
  <c r="N691" i="1"/>
  <c r="O691" i="1" s="1"/>
  <c r="N692" i="1"/>
  <c r="N693" i="1"/>
  <c r="O693" i="1" s="1"/>
  <c r="N694" i="1"/>
  <c r="O694" i="1" s="1"/>
  <c r="N695" i="1"/>
  <c r="O695" i="1" s="1"/>
  <c r="N696" i="1"/>
  <c r="O696" i="1" s="1"/>
  <c r="N697" i="1"/>
  <c r="O697" i="1" s="1"/>
  <c r="N698" i="1"/>
  <c r="O698" i="1" s="1"/>
  <c r="N699" i="1"/>
  <c r="O699" i="1" s="1"/>
  <c r="N700" i="1"/>
  <c r="O700" i="1" s="1"/>
  <c r="N701" i="1"/>
  <c r="O701" i="1" s="1"/>
  <c r="N702" i="1"/>
  <c r="O702" i="1" s="1"/>
  <c r="N703" i="1"/>
  <c r="N704" i="1"/>
  <c r="O704" i="1" s="1"/>
  <c r="N705" i="1"/>
  <c r="O705" i="1" s="1"/>
  <c r="N706" i="1"/>
  <c r="O706" i="1" s="1"/>
  <c r="N707" i="1"/>
  <c r="O707" i="1" s="1"/>
  <c r="N708" i="1"/>
  <c r="N709" i="1"/>
  <c r="O709" i="1" s="1"/>
  <c r="N710" i="1"/>
  <c r="O710" i="1" s="1"/>
  <c r="N711" i="1"/>
  <c r="O711" i="1" s="1"/>
  <c r="N712" i="1"/>
  <c r="O712" i="1" s="1"/>
  <c r="N713" i="1"/>
  <c r="O713" i="1" s="1"/>
  <c r="N714" i="1"/>
  <c r="O714" i="1" s="1"/>
  <c r="N715" i="1"/>
  <c r="O715" i="1" s="1"/>
  <c r="N716" i="1"/>
  <c r="O716" i="1" s="1"/>
  <c r="N717" i="1"/>
  <c r="O717" i="1" s="1"/>
  <c r="N718" i="1"/>
  <c r="O718" i="1" s="1"/>
  <c r="N719" i="1"/>
  <c r="N720" i="1"/>
  <c r="O720" i="1" s="1"/>
  <c r="N721" i="1"/>
  <c r="O721" i="1" s="1"/>
  <c r="N722" i="1"/>
  <c r="O722" i="1" s="1"/>
  <c r="N723" i="1"/>
  <c r="O723" i="1" s="1"/>
  <c r="N724" i="1"/>
  <c r="N725" i="1"/>
  <c r="O725" i="1" s="1"/>
  <c r="N726" i="1"/>
  <c r="O726" i="1" s="1"/>
  <c r="N727" i="1"/>
  <c r="O727" i="1" s="1"/>
  <c r="N728" i="1"/>
  <c r="O728" i="1" s="1"/>
  <c r="N729" i="1"/>
  <c r="O729" i="1" s="1"/>
  <c r="N730" i="1"/>
  <c r="O730" i="1" s="1"/>
  <c r="N731" i="1"/>
  <c r="O731" i="1" s="1"/>
  <c r="N732" i="1"/>
  <c r="O732" i="1" s="1"/>
  <c r="N733" i="1"/>
  <c r="O733" i="1" s="1"/>
  <c r="N734" i="1"/>
  <c r="O734" i="1" s="1"/>
  <c r="N735" i="1"/>
  <c r="N736" i="1"/>
  <c r="O736" i="1" s="1"/>
  <c r="N737" i="1"/>
  <c r="O737" i="1" s="1"/>
  <c r="N738" i="1"/>
  <c r="O738" i="1" s="1"/>
  <c r="N739" i="1"/>
  <c r="O739" i="1" s="1"/>
  <c r="N740" i="1"/>
  <c r="N741" i="1"/>
  <c r="O741" i="1" s="1"/>
  <c r="N742" i="1"/>
  <c r="O742" i="1" s="1"/>
  <c r="N743" i="1"/>
  <c r="O743" i="1" s="1"/>
  <c r="N744" i="1"/>
  <c r="O744" i="1" s="1"/>
  <c r="N745" i="1"/>
  <c r="O745" i="1" s="1"/>
  <c r="N746" i="1"/>
  <c r="O746" i="1" s="1"/>
  <c r="N747" i="1"/>
  <c r="O747" i="1" s="1"/>
  <c r="N748" i="1"/>
  <c r="O748" i="1" s="1"/>
  <c r="N8" i="1"/>
  <c r="O8" i="1" s="1"/>
  <c r="N9" i="1"/>
  <c r="O9" i="1" s="1"/>
  <c r="N10" i="1"/>
  <c r="O10" i="1" s="1"/>
  <c r="N11" i="1"/>
  <c r="O11" i="1" s="1"/>
  <c r="N12" i="1"/>
  <c r="O12" i="1" s="1"/>
  <c r="N13" i="1"/>
  <c r="O13" i="1" s="1"/>
  <c r="N14" i="1"/>
  <c r="O14" i="1" s="1"/>
  <c r="N15" i="1"/>
  <c r="O15" i="1" s="1"/>
  <c r="N7" i="1"/>
  <c r="O7" i="1" s="1"/>
  <c r="N4" i="1"/>
  <c r="O4" i="1" s="1"/>
  <c r="N5" i="1"/>
  <c r="O5" i="1" s="1"/>
  <c r="N6" i="1"/>
  <c r="O6" i="1" s="1"/>
  <c r="N3" i="1"/>
  <c r="O3" i="1" s="1"/>
  <c r="N2" i="1"/>
  <c r="O2" i="1" s="1"/>
  <c r="F745" i="1"/>
  <c r="F744" i="1"/>
  <c r="F742" i="1"/>
  <c r="F739" i="1"/>
  <c r="F738" i="1"/>
  <c r="F737" i="1"/>
  <c r="F735" i="1"/>
  <c r="F733" i="1"/>
  <c r="F727" i="1"/>
  <c r="F726" i="1"/>
  <c r="F716" i="1"/>
  <c r="F715" i="1"/>
  <c r="F709" i="1"/>
  <c r="F706" i="1"/>
  <c r="F705" i="1"/>
  <c r="F702" i="1"/>
  <c r="F697" i="1"/>
  <c r="F695" i="1"/>
  <c r="F685" i="1"/>
  <c r="F676" i="1"/>
  <c r="F675" i="1"/>
  <c r="F667" i="1"/>
  <c r="F661" i="1"/>
  <c r="F658" i="1"/>
  <c r="F655" i="1"/>
  <c r="F654" i="1"/>
  <c r="F653" i="1"/>
  <c r="F643" i="1"/>
  <c r="F642" i="1"/>
  <c r="F636" i="1"/>
  <c r="F631" i="1"/>
  <c r="F628" i="1"/>
  <c r="F622" i="1"/>
  <c r="F615" i="1"/>
  <c r="F612" i="1"/>
  <c r="F603" i="1"/>
  <c r="F598" i="1"/>
  <c r="F597" i="1"/>
  <c r="F582" i="1"/>
  <c r="F580" i="1"/>
  <c r="F579" i="1"/>
  <c r="F553" i="1"/>
  <c r="F543" i="1"/>
  <c r="F542" i="1"/>
  <c r="F539" i="1"/>
  <c r="F538" i="1"/>
  <c r="F527" i="1"/>
  <c r="F520" i="1"/>
  <c r="F518" i="1"/>
  <c r="F517" i="1"/>
  <c r="F509" i="1"/>
  <c r="F493" i="1"/>
  <c r="F490" i="1"/>
  <c r="F468" i="1"/>
  <c r="F456" i="1"/>
  <c r="F455" i="1"/>
  <c r="F422" i="1"/>
  <c r="F419" i="1"/>
  <c r="F418" i="1"/>
  <c r="F417" i="1"/>
  <c r="F414" i="1"/>
  <c r="F413" i="1"/>
  <c r="F409" i="1"/>
  <c r="F392" i="1"/>
  <c r="F386" i="1"/>
  <c r="F373" i="1"/>
  <c r="F372" i="1"/>
  <c r="F351" i="1"/>
  <c r="F341" i="1"/>
  <c r="F332" i="1"/>
  <c r="F327" i="1"/>
  <c r="F326" i="1"/>
  <c r="F325" i="1"/>
  <c r="F322" i="1"/>
  <c r="F320" i="1"/>
  <c r="F319" i="1"/>
  <c r="F318" i="1"/>
  <c r="F317" i="1"/>
  <c r="F313" i="1"/>
  <c r="F309" i="1"/>
  <c r="F305" i="1"/>
  <c r="F304" i="1"/>
  <c r="F303" i="1"/>
  <c r="F292" i="1"/>
  <c r="F289" i="1"/>
  <c r="F278" i="1"/>
  <c r="F277" i="1"/>
  <c r="F272" i="1"/>
  <c r="F269" i="1"/>
  <c r="F266" i="1"/>
  <c r="F265" i="1"/>
  <c r="F257" i="1"/>
  <c r="F254" i="1"/>
  <c r="F249" i="1"/>
  <c r="F243" i="1"/>
  <c r="F242" i="1"/>
  <c r="F236" i="1"/>
  <c r="F235" i="1"/>
  <c r="F232" i="1"/>
  <c r="F230" i="1"/>
  <c r="F228" i="1"/>
  <c r="F226" i="1"/>
  <c r="F225" i="1"/>
  <c r="F224" i="1"/>
  <c r="F220" i="1"/>
  <c r="F218" i="1"/>
  <c r="F217" i="1"/>
  <c r="F216" i="1"/>
  <c r="F215" i="1"/>
  <c r="F214" i="1"/>
  <c r="F213" i="1"/>
  <c r="F210" i="1"/>
  <c r="F207" i="1"/>
  <c r="F202" i="1"/>
  <c r="F200" i="1"/>
  <c r="F199" i="1"/>
  <c r="F194" i="1"/>
  <c r="F192" i="1"/>
  <c r="F191" i="1"/>
  <c r="F190" i="1"/>
  <c r="F189" i="1"/>
  <c r="F188" i="1"/>
  <c r="F179" i="1"/>
  <c r="F177" i="1"/>
  <c r="F176" i="1"/>
  <c r="F170" i="1"/>
  <c r="F168" i="1"/>
  <c r="F163" i="1"/>
  <c r="F162" i="1"/>
  <c r="F158" i="1"/>
  <c r="F156" i="1"/>
  <c r="F153" i="1"/>
  <c r="F151" i="1"/>
  <c r="F150" i="1"/>
  <c r="F149" i="1"/>
  <c r="F148" i="1"/>
  <c r="F147" i="1"/>
  <c r="F143" i="1"/>
  <c r="F140" i="1"/>
  <c r="F135" i="1"/>
  <c r="F134" i="1"/>
  <c r="F132" i="1"/>
  <c r="F131" i="1"/>
  <c r="F130" i="1"/>
  <c r="F126" i="1"/>
  <c r="F125" i="1"/>
  <c r="F124" i="1"/>
  <c r="F120" i="1"/>
  <c r="F117" i="1"/>
  <c r="F115" i="1"/>
  <c r="F114" i="1"/>
  <c r="F110" i="1"/>
  <c r="F105" i="1"/>
  <c r="F104" i="1"/>
  <c r="F101" i="1"/>
  <c r="F98" i="1"/>
  <c r="F92" i="1"/>
  <c r="F91" i="1"/>
  <c r="F89" i="1"/>
  <c r="F88" i="1"/>
  <c r="F86" i="1"/>
  <c r="F84" i="1"/>
  <c r="F78" i="1"/>
  <c r="F77" i="1"/>
  <c r="F74" i="1"/>
  <c r="F73" i="1"/>
  <c r="F72" i="1"/>
  <c r="F69" i="1"/>
  <c r="F68" i="1"/>
  <c r="F66" i="1"/>
  <c r="F65" i="1"/>
  <c r="F64" i="1"/>
  <c r="F63" i="1"/>
  <c r="F59" i="1"/>
  <c r="F58" i="1"/>
  <c r="F54" i="1"/>
  <c r="F53" i="1"/>
  <c r="F52" i="1"/>
  <c r="F51" i="1"/>
  <c r="F50" i="1"/>
  <c r="F49" i="1"/>
  <c r="F48" i="1"/>
  <c r="F43" i="1"/>
  <c r="F42" i="1"/>
  <c r="F41" i="1"/>
  <c r="F38" i="1"/>
  <c r="F37" i="1"/>
  <c r="F34" i="1"/>
  <c r="F33" i="1"/>
  <c r="F31" i="1"/>
  <c r="F30" i="1"/>
  <c r="F20" i="1"/>
  <c r="F17" i="1"/>
  <c r="F16" i="1"/>
  <c r="F7" i="1"/>
  <c r="F3" i="1"/>
  <c r="C9" i="6"/>
  <c r="D25" i="6"/>
  <c r="D26" i="6"/>
  <c r="D27" i="6"/>
  <c r="D28" i="6"/>
  <c r="D29" i="6"/>
  <c r="D30" i="6"/>
  <c r="D31" i="6"/>
  <c r="D32" i="6"/>
  <c r="D33" i="6"/>
  <c r="C25" i="6"/>
  <c r="C26" i="6"/>
  <c r="C27" i="6"/>
  <c r="C28" i="6"/>
  <c r="C29" i="6"/>
  <c r="C30" i="6"/>
  <c r="C31" i="6"/>
  <c r="C32" i="6"/>
  <c r="C33" i="6"/>
  <c r="D24" i="6"/>
  <c r="C24" i="6"/>
  <c r="F18" i="6"/>
  <c r="F19" i="6"/>
  <c r="F20" i="6"/>
  <c r="F17" i="6"/>
  <c r="E18" i="6"/>
  <c r="E19" i="6"/>
  <c r="E20" i="6"/>
  <c r="E17" i="6"/>
  <c r="C17" i="6"/>
  <c r="D18" i="6"/>
  <c r="D19" i="6"/>
  <c r="D20" i="6"/>
  <c r="D17" i="6"/>
  <c r="C18" i="6"/>
  <c r="C19" i="6"/>
  <c r="C20" i="6"/>
  <c r="D13" i="6"/>
  <c r="D12" i="6"/>
  <c r="D11" i="6"/>
  <c r="D10" i="6"/>
  <c r="D9" i="6"/>
  <c r="C13" i="6"/>
  <c r="C12" i="6"/>
  <c r="C11" i="6"/>
  <c r="C10" i="6"/>
  <c r="E4" i="6"/>
  <c r="E3" i="6"/>
  <c r="E5" i="6" l="1"/>
  <c r="F9" i="6" s="1"/>
  <c r="F10" i="6" l="1"/>
  <c r="E10" i="6"/>
  <c r="E11" i="6"/>
  <c r="F11" i="6"/>
  <c r="E12" i="6"/>
  <c r="E9" i="6"/>
  <c r="F12" i="6"/>
  <c r="F13" i="6"/>
  <c r="E13" i="6"/>
</calcChain>
</file>

<file path=xl/sharedStrings.xml><?xml version="1.0" encoding="utf-8"?>
<sst xmlns="http://schemas.openxmlformats.org/spreadsheetml/2006/main" count="3715" uniqueCount="347">
  <si>
    <t>EMPLOYEE_ID</t>
  </si>
  <si>
    <t>GENDER</t>
  </si>
  <si>
    <t>DATE_OF_BIRTH</t>
  </si>
  <si>
    <t>DATE_OF_HIRE</t>
  </si>
  <si>
    <t>TERMINATION_DATE</t>
  </si>
  <si>
    <t>OCCUPATION</t>
  </si>
  <si>
    <t>SALARY</t>
  </si>
  <si>
    <t>Knowledge of Work</t>
  </si>
  <si>
    <t>Communication</t>
  </si>
  <si>
    <t>Teamwork</t>
  </si>
  <si>
    <t>Leadership</t>
  </si>
  <si>
    <t>Quality of Work</t>
  </si>
  <si>
    <t>Female</t>
  </si>
  <si>
    <t>Stocking Associate</t>
  </si>
  <si>
    <t>Male</t>
  </si>
  <si>
    <t>Warehouse Receiving Associate</t>
  </si>
  <si>
    <t>Board Member</t>
  </si>
  <si>
    <t>Customer Service Help Desk</t>
  </si>
  <si>
    <t>Inventory Associate</t>
  </si>
  <si>
    <t>Inventory Supervisor</t>
  </si>
  <si>
    <t>Marketing Coordinator</t>
  </si>
  <si>
    <t>Accountant</t>
  </si>
  <si>
    <t>Accounting Associate</t>
  </si>
  <si>
    <t>Supervisor</t>
  </si>
  <si>
    <t>Senior Category Manager</t>
  </si>
  <si>
    <t>Inventory Retrieving Associate</t>
  </si>
  <si>
    <t>Manager of Operations</t>
  </si>
  <si>
    <t>Field App Engineer</t>
  </si>
  <si>
    <t>Senior Copywriter</t>
  </si>
  <si>
    <t>Agent Quality Control Monitoring</t>
  </si>
  <si>
    <t>Accountant AP</t>
  </si>
  <si>
    <t>Inventory Cycle Associate</t>
  </si>
  <si>
    <t>Customer Service Associate</t>
  </si>
  <si>
    <t>Shipping Associate</t>
  </si>
  <si>
    <t>Inventory Transfer Associate</t>
  </si>
  <si>
    <t>Dir Content Operation</t>
  </si>
  <si>
    <t>Warehouse Supervisor</t>
  </si>
  <si>
    <t>Sorter Associate</t>
  </si>
  <si>
    <t>Sr. VP Sales &amp; Marketing</t>
  </si>
  <si>
    <t>Chairman Holding</t>
  </si>
  <si>
    <t>Repair Technician</t>
  </si>
  <si>
    <t>Clerk Accounting AP</t>
  </si>
  <si>
    <t>Sr Mgr Project</t>
  </si>
  <si>
    <t>Warehouse Associate</t>
  </si>
  <si>
    <t>Customer Service Representative</t>
  </si>
  <si>
    <t>Technician IT Warehouse</t>
  </si>
  <si>
    <t>Administrator HR</t>
  </si>
  <si>
    <t>Assoc Facilities III General Agent</t>
  </si>
  <si>
    <t>Shipping Supervisor</t>
  </si>
  <si>
    <t>Assoc Facilities I GA</t>
  </si>
  <si>
    <t>General Agent Supervisor</t>
  </si>
  <si>
    <t>General Agent Associate</t>
  </si>
  <si>
    <t>Head Wholesale</t>
  </si>
  <si>
    <t>VP Customer Service</t>
  </si>
  <si>
    <t>Manager of Information Technology</t>
  </si>
  <si>
    <t>Sr Web Editor</t>
  </si>
  <si>
    <t>Dir Creative Marketing</t>
  </si>
  <si>
    <t>Eng Conveyor Systems</t>
  </si>
  <si>
    <t>Customer Service Representative Help Desk</t>
  </si>
  <si>
    <t>Technician Maintenance</t>
  </si>
  <si>
    <t>Manager of Warehouse Operations</t>
  </si>
  <si>
    <t>Customer Service Rep Associate</t>
  </si>
  <si>
    <t>Assoc Facilities III GA</t>
  </si>
  <si>
    <t>Category Manager</t>
  </si>
  <si>
    <t>VP Admin Sales and Mktg</t>
  </si>
  <si>
    <t>Shipping Lead</t>
  </si>
  <si>
    <t>Sr. Category Manager Mktg</t>
  </si>
  <si>
    <t>Dir Sales Channel Mgmt</t>
  </si>
  <si>
    <t>Administrator Purchasing</t>
  </si>
  <si>
    <t>Dir Comp &amp; Benefits HR</t>
  </si>
  <si>
    <t>Dir Training &amp; Contracts</t>
  </si>
  <si>
    <t>Sr Analyst Corp Business Systems</t>
  </si>
  <si>
    <t>Receiving Supervisor</t>
  </si>
  <si>
    <t>Sup Contact Cust Serv</t>
  </si>
  <si>
    <t>Account Executive Small Accounts</t>
  </si>
  <si>
    <t>Technician Conveyor</t>
  </si>
  <si>
    <t>Mgr Country</t>
  </si>
  <si>
    <t>Facilities Assoc III</t>
  </si>
  <si>
    <t>Network Engineer</t>
  </si>
  <si>
    <t>VP International</t>
  </si>
  <si>
    <t>Accountant AR</t>
  </si>
  <si>
    <t>General Agent</t>
  </si>
  <si>
    <t>Sr Mgr Facility Maintenance</t>
  </si>
  <si>
    <t>Architect</t>
  </si>
  <si>
    <t>Inventory Lead</t>
  </si>
  <si>
    <t>Product Manager</t>
  </si>
  <si>
    <t>Sr Mgr Safety</t>
  </si>
  <si>
    <t>Assoc Will Call Center</t>
  </si>
  <si>
    <t>Sales Specialist</t>
  </si>
  <si>
    <t>Sr Dir Product Management</t>
  </si>
  <si>
    <t>HR Business Partner</t>
  </si>
  <si>
    <t>Photographer Imaging</t>
  </si>
  <si>
    <t>Assoc Inventory Picking</t>
  </si>
  <si>
    <t>CFO NA Region</t>
  </si>
  <si>
    <t>Sr Mgr Fraud Prevention</t>
  </si>
  <si>
    <t>North America Head of HR</t>
  </si>
  <si>
    <t>Agent Support Desk Customer Service</t>
  </si>
  <si>
    <t>Dir Growth &amp; Retention</t>
  </si>
  <si>
    <t>Merchandiser MB</t>
  </si>
  <si>
    <t>Dir Product Management</t>
  </si>
  <si>
    <t>Sr Category Manager Development</t>
  </si>
  <si>
    <t>General Counsel</t>
  </si>
  <si>
    <t>Manager of Transporation and Delivery</t>
  </si>
  <si>
    <t>Agent Claims Transportation</t>
  </si>
  <si>
    <t>Sr Mgr HR</t>
  </si>
  <si>
    <t>Merchandiser Warranty Service Rep</t>
  </si>
  <si>
    <t>VP Marketplace</t>
  </si>
  <si>
    <t>Receiving Associate</t>
  </si>
  <si>
    <t>Director of International Business</t>
  </si>
  <si>
    <t>Warehouse Receiving Lead</t>
  </si>
  <si>
    <t>Telecom Engineer</t>
  </si>
  <si>
    <t>Packaging Associate</t>
  </si>
  <si>
    <t>Dir Advertising Sales MGR</t>
  </si>
  <si>
    <t>Customer Retention Supervisor</t>
  </si>
  <si>
    <t>Merch Manager</t>
  </si>
  <si>
    <t>Sr. Mgr Financial Analysis</t>
  </si>
  <si>
    <t>Dir App Dev</t>
  </si>
  <si>
    <t>Coord Project Legal</t>
  </si>
  <si>
    <t>Coord Imaging</t>
  </si>
  <si>
    <t>Chief Legal Officer Corporate Legal</t>
  </si>
  <si>
    <t>Sr Corp Counsel</t>
  </si>
  <si>
    <t>Dir Learning &amp; Organization</t>
  </si>
  <si>
    <t>Dir Information Security</t>
  </si>
  <si>
    <t>Agent Verification</t>
  </si>
  <si>
    <t>Warehouse Assistant Supervisor</t>
  </si>
  <si>
    <t>Dir Legal Affairs</t>
  </si>
  <si>
    <t>Sup Inventory</t>
  </si>
  <si>
    <t>Coord Creative Services</t>
  </si>
  <si>
    <t>Dir Backend Sys Backend</t>
  </si>
  <si>
    <t>Domain Head</t>
  </si>
  <si>
    <t>Sr Accountant Financial</t>
  </si>
  <si>
    <t>Dir Talent Acquisition</t>
  </si>
  <si>
    <t>Accountant Revenue Accounts Receivable</t>
  </si>
  <si>
    <t>Agent Public Image Customer Service</t>
  </si>
  <si>
    <t>Merchandiser</t>
  </si>
  <si>
    <t>Sales Manager</t>
  </si>
  <si>
    <t>Engineer Application Developer</t>
  </si>
  <si>
    <t>Sr Accountant AP</t>
  </si>
  <si>
    <t>Sr Category Mgr</t>
  </si>
  <si>
    <t>Sr Eng Systems</t>
  </si>
  <si>
    <t>Sr Account Executive</t>
  </si>
  <si>
    <t>Application Developer Engineer</t>
  </si>
  <si>
    <t>Data Integration Specialist</t>
  </si>
  <si>
    <t>Director User Experience &amp; Developer</t>
  </si>
  <si>
    <t>Merchandiser Input Output</t>
  </si>
  <si>
    <t>Sr Eng Telecom</t>
  </si>
  <si>
    <t>Sr Graphic Designer</t>
  </si>
  <si>
    <t>Director of Accounting</t>
  </si>
  <si>
    <t>Mgr Content Support Web</t>
  </si>
  <si>
    <t>Sr Dir Category Mktg</t>
  </si>
  <si>
    <t>Sr Corporate Counselor</t>
  </si>
  <si>
    <t>Sr Mgr Corp Bus Systems</t>
  </si>
  <si>
    <t>Sr Dir Corporate Engineer</t>
  </si>
  <si>
    <t>Sr Designer Web</t>
  </si>
  <si>
    <t>Sup Contact Customer Service</t>
  </si>
  <si>
    <t>Sr. VP Operations</t>
  </si>
  <si>
    <t>Web Content Specialist</t>
  </si>
  <si>
    <t>Sr Eng App Developer</t>
  </si>
  <si>
    <t>Dir Financial Planning</t>
  </si>
  <si>
    <t>Directory of US Marketplace</t>
  </si>
  <si>
    <t>Sr Recruiter HR</t>
  </si>
  <si>
    <t>Sr Eng Network</t>
  </si>
  <si>
    <t>Sr Eng App Dev</t>
  </si>
  <si>
    <t>Administrator 3rd Party</t>
  </si>
  <si>
    <t>Architect Systems</t>
  </si>
  <si>
    <t>Specialist Product Marke</t>
  </si>
  <si>
    <t>Sup Revenue AR</t>
  </si>
  <si>
    <t>Investigations Supervisor</t>
  </si>
  <si>
    <t>Coord Logistic Transport</t>
  </si>
  <si>
    <t>Server System Developer</t>
  </si>
  <si>
    <t>Sr Analyst Corp Bus System</t>
  </si>
  <si>
    <t>Sup Inventory Picking</t>
  </si>
  <si>
    <t>Spec Seller Services</t>
  </si>
  <si>
    <t>Printer Marketing Director</t>
  </si>
  <si>
    <t>Dir Project Mgmt</t>
  </si>
  <si>
    <t>Mgr Business Management</t>
  </si>
  <si>
    <t>Mgr Promotion Center</t>
  </si>
  <si>
    <t>Manager</t>
  </si>
  <si>
    <t>Merchandise Specialist</t>
  </si>
  <si>
    <t>Site Search Web Specialist</t>
  </si>
  <si>
    <t>Analyst Bus System</t>
  </si>
  <si>
    <t>Sr Designer Digital Marketing</t>
  </si>
  <si>
    <t>Mgr Email Mktg</t>
  </si>
  <si>
    <t>Web Designer</t>
  </si>
  <si>
    <t>Dir Financial Reporting</t>
  </si>
  <si>
    <t>Account Executive</t>
  </si>
  <si>
    <t>Mgr Internal Audit</t>
  </si>
  <si>
    <t>Systems Engineer</t>
  </si>
  <si>
    <t>Accountant Accounts Receivable</t>
  </si>
  <si>
    <t>Technician Desktop Support</t>
  </si>
  <si>
    <t>Engingeer Application Developer</t>
  </si>
  <si>
    <t>Business Specialist</t>
  </si>
  <si>
    <t>Sup Desktop Support</t>
  </si>
  <si>
    <t>Dir Dynamic Marketing</t>
  </si>
  <si>
    <t>Contact Center Helpdesk</t>
  </si>
  <si>
    <t>Auditor</t>
  </si>
  <si>
    <t>Producer Creative Design</t>
  </si>
  <si>
    <t>Mgr Digital Content</t>
  </si>
  <si>
    <t>Mgr Merchandising Marketplace</t>
  </si>
  <si>
    <t>Specialist Product Market</t>
  </si>
  <si>
    <t>Merchandiser Server System</t>
  </si>
  <si>
    <t>Web Editor</t>
  </si>
  <si>
    <t>Category Manager Warranty</t>
  </si>
  <si>
    <t>Warehouse Shipping Lead</t>
  </si>
  <si>
    <t>Warehouse Inventory Team Lead</t>
  </si>
  <si>
    <t>Asst Product Manager</t>
  </si>
  <si>
    <t>Senior Engineer Application Developer</t>
  </si>
  <si>
    <t>Category Manager Marketing</t>
  </si>
  <si>
    <t>Testing Engineer</t>
  </si>
  <si>
    <t>Promotional Marketing Director</t>
  </si>
  <si>
    <t>Sr Designer Mktg</t>
  </si>
  <si>
    <t>Dir Merchandising &amp; Marketing</t>
  </si>
  <si>
    <t>Sr Analyst Mkt Research</t>
  </si>
  <si>
    <t>Sr Eng App Dev Backend</t>
  </si>
  <si>
    <t>Engineer App Support</t>
  </si>
  <si>
    <t>Category Manager Marketplace</t>
  </si>
  <si>
    <t>Merchandise Manager</t>
  </si>
  <si>
    <t>Dir Web Management</t>
  </si>
  <si>
    <t>Spec Virtual Fulfillment</t>
  </si>
  <si>
    <t>Sr Engineer Application Developer</t>
  </si>
  <si>
    <t>Analyst Data Mining</t>
  </si>
  <si>
    <t>Dir International Sales</t>
  </si>
  <si>
    <t>Workforce Manager Customer Service</t>
  </si>
  <si>
    <t>Sr UI/UX Designer MIS</t>
  </si>
  <si>
    <t>Mgr Mktg Marketing</t>
  </si>
  <si>
    <t>Merchandising Manager</t>
  </si>
  <si>
    <t>Eng App Support</t>
  </si>
  <si>
    <t>Customer Service Representative Supervisor</t>
  </si>
  <si>
    <t>Sr Marketing Speciliat</t>
  </si>
  <si>
    <t>Contact Customer Service Supervisor</t>
  </si>
  <si>
    <t>Application Support Engineer</t>
  </si>
  <si>
    <t>Account Executive Regional Accounts</t>
  </si>
  <si>
    <t>Sr Engineer</t>
  </si>
  <si>
    <t>Ebay Specialist</t>
  </si>
  <si>
    <t>Designer Email Graphic</t>
  </si>
  <si>
    <t>Sr Analyst Corp Bus Systems</t>
  </si>
  <si>
    <t>Category Manager Video Game</t>
  </si>
  <si>
    <t>Sr Accountant</t>
  </si>
  <si>
    <t>Category Manager Recert Com</t>
  </si>
  <si>
    <t>Sr Mgr Financial Planning</t>
  </si>
  <si>
    <t>Merchant Manager</t>
  </si>
  <si>
    <t>Merchandiser Wireless</t>
  </si>
  <si>
    <t>Investigator</t>
  </si>
  <si>
    <t>Analyst Financial</t>
  </si>
  <si>
    <t>Merchandiser Desktop PC</t>
  </si>
  <si>
    <t>Project Mgr IT</t>
  </si>
  <si>
    <t>Sup Shipping</t>
  </si>
  <si>
    <t>Analyst Fraud</t>
  </si>
  <si>
    <t>Account Mgr Small Business Accounts</t>
  </si>
  <si>
    <t>Analyst Corp Bus Systems</t>
  </si>
  <si>
    <t>CPU Merchandiser</t>
  </si>
  <si>
    <t>Asst Mgr Promotions Marketing</t>
  </si>
  <si>
    <t>Marketing Specialist</t>
  </si>
  <si>
    <t>Marketing Mgr Canada</t>
  </si>
  <si>
    <t>Accounts Payable Supervisor</t>
  </si>
  <si>
    <t>Small Business Markets Specialist</t>
  </si>
  <si>
    <t>Sr Manager of Commerce</t>
  </si>
  <si>
    <t>Sr HR Business Partner</t>
  </si>
  <si>
    <t>Spec Bus Intel</t>
  </si>
  <si>
    <t>Sup Transportation</t>
  </si>
  <si>
    <t>Sup Vendor Credit Collection</t>
  </si>
  <si>
    <t>Content Manager</t>
  </si>
  <si>
    <t>Will Call Manager</t>
  </si>
  <si>
    <t>Will Call Associate</t>
  </si>
  <si>
    <t>Spec Transportation Int</t>
  </si>
  <si>
    <t>Sup Warehouse Inventory</t>
  </si>
  <si>
    <t>Sr Spec Marketing</t>
  </si>
  <si>
    <t>Mgr Sales Channel Mgmt</t>
  </si>
  <si>
    <t>Sr Analyst Market Research</t>
  </si>
  <si>
    <t>Asst Admin GA</t>
  </si>
  <si>
    <t>Agent QC Monitoring</t>
  </si>
  <si>
    <t>Sr Editor Marketing</t>
  </si>
  <si>
    <t>Merchandiser Monitor</t>
  </si>
  <si>
    <t>Promotions Manager</t>
  </si>
  <si>
    <t>Office Coordinator</t>
  </si>
  <si>
    <t>Analyst Business Applications</t>
  </si>
  <si>
    <t>Merchandiser Cable</t>
  </si>
  <si>
    <t>Mgr Seller Services</t>
  </si>
  <si>
    <t>Spec Promotions</t>
  </si>
  <si>
    <t>Sr Spec Remarketing</t>
  </si>
  <si>
    <t>Content Specialist</t>
  </si>
  <si>
    <t>Sr Spec Email Promotion</t>
  </si>
  <si>
    <t>Customer Support</t>
  </si>
  <si>
    <t>Marketing Manager</t>
  </si>
  <si>
    <t>Rep Hybrid Center Customer Service</t>
  </si>
  <si>
    <t>Rep Customer Retention</t>
  </si>
  <si>
    <t>Spec Knowledge Management</t>
  </si>
  <si>
    <t>Business Analyst</t>
  </si>
  <si>
    <t>Spec Search Engine Marketing</t>
  </si>
  <si>
    <t>Assistant Category Manager</t>
  </si>
  <si>
    <t>Spec Business Management</t>
  </si>
  <si>
    <t>Lead Inventory Picking</t>
  </si>
  <si>
    <t>Sr Helpdesk Coordinator</t>
  </si>
  <si>
    <t>Asst Workforce Mgmt</t>
  </si>
  <si>
    <t>Video Editor</t>
  </si>
  <si>
    <t>Support Desk Agent</t>
  </si>
  <si>
    <t>Lead Customer Relations</t>
  </si>
  <si>
    <t>Account Mgr Marketplace</t>
  </si>
  <si>
    <t>Inventory Receiving Lead</t>
  </si>
  <si>
    <t>Assistant Human Resource Info Systems</t>
  </si>
  <si>
    <t>Management Trainee</t>
  </si>
  <si>
    <t>Coach Training</t>
  </si>
  <si>
    <t>Fraud Preventiion Supervisor</t>
  </si>
  <si>
    <t>Sr Marketing Designer</t>
  </si>
  <si>
    <t>Promotions Specialist</t>
  </si>
  <si>
    <t>Shipping Manager</t>
  </si>
  <si>
    <t>Account Manager</t>
  </si>
  <si>
    <t>Spec QA Promotion Center</t>
  </si>
  <si>
    <t>Administrative Assistant</t>
  </si>
  <si>
    <t>Spec Promotion Email</t>
  </si>
  <si>
    <t>Inventory Receiving Associate</t>
  </si>
  <si>
    <t>eBay Customer Support</t>
  </si>
  <si>
    <t>Sr Accounts Receivable</t>
  </si>
  <si>
    <t>Spec Targeted Promotion</t>
  </si>
  <si>
    <t>Lead IQC Testing</t>
  </si>
  <si>
    <t>Fraud Analyst</t>
  </si>
  <si>
    <t>IQC Tester</t>
  </si>
  <si>
    <t>Lead Stocker Logistics</t>
  </si>
  <si>
    <t>Customer Support Representative</t>
  </si>
  <si>
    <t>Email Promotions Specialist</t>
  </si>
  <si>
    <t>Analyst Fraud Fraud Prevention</t>
  </si>
  <si>
    <t>Row Labels</t>
  </si>
  <si>
    <t>(blank)</t>
  </si>
  <si>
    <t>Grand Total</t>
  </si>
  <si>
    <t>Sum of EMPLOYEE_ID</t>
  </si>
  <si>
    <t>Max of SALARY</t>
  </si>
  <si>
    <t>Data Analysis</t>
  </si>
  <si>
    <t>Salary Comparison Report</t>
  </si>
  <si>
    <t>Percentage</t>
  </si>
  <si>
    <t>Count</t>
  </si>
  <si>
    <t>Salary Bracket</t>
  </si>
  <si>
    <t>Total Number of Male Employees</t>
  </si>
  <si>
    <t>Total Number of Female Employees</t>
  </si>
  <si>
    <t>Total Number of Employees</t>
  </si>
  <si>
    <t>$20,000-$50,000</t>
  </si>
  <si>
    <t>$100,001-200,000</t>
  </si>
  <si>
    <t>$200,001-300,000</t>
  </si>
  <si>
    <t>$300,001-400,000</t>
  </si>
  <si>
    <t>Average Salary by Occupation</t>
  </si>
  <si>
    <t>Avg Salary</t>
  </si>
  <si>
    <t>Occupation</t>
  </si>
  <si>
    <t>Top 10 Highest Paid Positions</t>
  </si>
  <si>
    <t>Salary</t>
  </si>
  <si>
    <t>$50,001-$100,000</t>
  </si>
  <si>
    <t>JOB_DURATION</t>
  </si>
  <si>
    <t>Evaluation Score</t>
  </si>
  <si>
    <t>Evaluation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</si>
</sst>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44" fontId="0" fillId="0" borderId="0" xfId="0" applyNumberFormat="1" applyAlignment="1">
      <alignment horizontal="left"/>
    </xf>
    <xf numFmtId="0" fontId="0" fillId="0" borderId="0" xfId="0" quotePrefix="1" applyAlignment="1">
      <alignment horizontal="left"/>
    </xf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5" borderId="0" xfId="0" applyFill="1"/>
    <xf numFmtId="0" fontId="0" fillId="0" borderId="1" xfId="0" applyBorder="1"/>
    <xf numFmtId="9" fontId="0" fillId="0" borderId="1" xfId="2" applyFont="1" applyBorder="1"/>
    <xf numFmtId="44" fontId="0" fillId="0" borderId="1" xfId="1" applyFont="1" applyBorder="1"/>
    <xf numFmtId="2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 by Employee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Data_Analysis!$C$7:$C$8</c:f>
              <c:strCache>
                <c:ptCount val="2"/>
                <c:pt idx="0">
                  <c:v>Count</c:v>
                </c:pt>
                <c:pt idx="1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Data_Analysis!$A$9:$A$13</c:f>
              <c:strCache>
                <c:ptCount val="5"/>
                <c:pt idx="0">
                  <c:v>$20,000-$50,000</c:v>
                </c:pt>
                <c:pt idx="1">
                  <c:v>$50,001-$100,000</c:v>
                </c:pt>
                <c:pt idx="2">
                  <c:v>$100,001-200,000</c:v>
                </c:pt>
                <c:pt idx="3">
                  <c:v>$200,001-300,000</c:v>
                </c:pt>
                <c:pt idx="4">
                  <c:v>$300,001-400,000</c:v>
                </c:pt>
              </c:strCache>
            </c:strRef>
          </c:cat>
          <c:val>
            <c:numRef>
              <c:f>Data_Analysis!$C$9:$C$13</c:f>
              <c:numCache>
                <c:formatCode>General</c:formatCode>
                <c:ptCount val="5"/>
                <c:pt idx="0">
                  <c:v>196</c:v>
                </c:pt>
                <c:pt idx="1">
                  <c:v>110</c:v>
                </c:pt>
                <c:pt idx="2">
                  <c:v>13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7D-4722-A840-E8483140BA6A}"/>
            </c:ext>
          </c:extLst>
        </c:ser>
        <c:ser>
          <c:idx val="2"/>
          <c:order val="2"/>
          <c:tx>
            <c:strRef>
              <c:f>Data_Analysis!$D$7:$D$8</c:f>
              <c:strCache>
                <c:ptCount val="2"/>
                <c:pt idx="0">
                  <c:v>Count</c:v>
                </c:pt>
                <c:pt idx="1">
                  <c:v>Female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Data_Analysis!$A$9:$A$13</c:f>
              <c:strCache>
                <c:ptCount val="5"/>
                <c:pt idx="0">
                  <c:v>$20,000-$50,000</c:v>
                </c:pt>
                <c:pt idx="1">
                  <c:v>$50,001-$100,000</c:v>
                </c:pt>
                <c:pt idx="2">
                  <c:v>$100,001-200,000</c:v>
                </c:pt>
                <c:pt idx="3">
                  <c:v>$200,001-300,000</c:v>
                </c:pt>
                <c:pt idx="4">
                  <c:v>$300,001-400,000</c:v>
                </c:pt>
              </c:strCache>
            </c:strRef>
          </c:cat>
          <c:val>
            <c:numRef>
              <c:f>Data_Analysis!$D$9:$D$13</c:f>
              <c:numCache>
                <c:formatCode>General</c:formatCode>
                <c:ptCount val="5"/>
                <c:pt idx="0">
                  <c:v>164</c:v>
                </c:pt>
                <c:pt idx="1">
                  <c:v>203</c:v>
                </c:pt>
                <c:pt idx="2">
                  <c:v>51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7D-4722-A840-E8483140B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1112184"/>
        <c:axId val="6211150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Data_Analysis!$B$7:$B$8</c15:sqref>
                        </c15:formulaRef>
                      </c:ext>
                    </c:extLst>
                    <c:strCache>
                      <c:ptCount val="2"/>
                      <c:pt idx="1">
                        <c:v>Salary Bracket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Data_Analysis!$A$9:$A$13</c15:sqref>
                        </c15:formulaRef>
                      </c:ext>
                    </c:extLst>
                    <c:strCache>
                      <c:ptCount val="5"/>
                      <c:pt idx="0">
                        <c:v>$20,000-$50,000</c:v>
                      </c:pt>
                      <c:pt idx="1">
                        <c:v>$50,001-$100,000</c:v>
                      </c:pt>
                      <c:pt idx="2">
                        <c:v>$100,001-200,000</c:v>
                      </c:pt>
                      <c:pt idx="3">
                        <c:v>$200,001-300,000</c:v>
                      </c:pt>
                      <c:pt idx="4">
                        <c:v>$300,001-400,000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Data_Analysis!$B$9:$B$13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307D-4722-A840-E8483140BA6A}"/>
                  </c:ext>
                </c:extLst>
              </c15:ser>
            </c15:filteredBarSeries>
          </c:ext>
        </c:extLst>
      </c:barChart>
      <c:catAx>
        <c:axId val="621112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15064"/>
        <c:crosses val="autoZero"/>
        <c:auto val="1"/>
        <c:lblAlgn val="ctr"/>
        <c:lblOffset val="100"/>
        <c:noMultiLvlLbl val="0"/>
      </c:catAx>
      <c:valAx>
        <c:axId val="621115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1112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Data_Analysis!$E$16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Data_Analysis!$A$17:$A$20</c:f>
              <c:strCache>
                <c:ptCount val="4"/>
                <c:pt idx="0">
                  <c:v>Stocking Associate</c:v>
                </c:pt>
                <c:pt idx="1">
                  <c:v>Inventory Retrieving Associate</c:v>
                </c:pt>
                <c:pt idx="2">
                  <c:v>Customer Service Representative</c:v>
                </c:pt>
                <c:pt idx="3">
                  <c:v>Category Manager</c:v>
                </c:pt>
              </c:strCache>
            </c:strRef>
          </c:cat>
          <c:val>
            <c:numRef>
              <c:f>Data_Analysis!$E$17:$E$20</c:f>
              <c:numCache>
                <c:formatCode>_("$"* #,##0.00_);_("$"* \(#,##0.00\);_("$"* "-"??_);_(@_)</c:formatCode>
                <c:ptCount val="4"/>
                <c:pt idx="0">
                  <c:v>28310.541666666668</c:v>
                </c:pt>
                <c:pt idx="1">
                  <c:v>28510.442307692309</c:v>
                </c:pt>
                <c:pt idx="2">
                  <c:v>30798.795454545456</c:v>
                </c:pt>
                <c:pt idx="3">
                  <c:v>79052.262500000012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1C3-4484-A057-5CE53BCDBBB3}"/>
            </c:ext>
          </c:extLst>
        </c:ser>
        <c:ser>
          <c:idx val="4"/>
          <c:order val="4"/>
          <c:tx>
            <c:strRef>
              <c:f>Data_Analysis!$F$16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Data_Analysis!$A$17:$A$20</c:f>
              <c:strCache>
                <c:ptCount val="4"/>
                <c:pt idx="0">
                  <c:v>Stocking Associate</c:v>
                </c:pt>
                <c:pt idx="1">
                  <c:v>Inventory Retrieving Associate</c:v>
                </c:pt>
                <c:pt idx="2">
                  <c:v>Customer Service Representative</c:v>
                </c:pt>
                <c:pt idx="3">
                  <c:v>Category Manager</c:v>
                </c:pt>
              </c:strCache>
            </c:strRef>
          </c:cat>
          <c:val>
            <c:numRef>
              <c:f>Data_Analysis!$F$17:$F$20</c:f>
              <c:numCache>
                <c:formatCode>_("$"* #,##0.00_);_("$"* \(#,##0.00\);_("$"* "-"??_);_(@_)</c:formatCode>
                <c:ptCount val="4"/>
                <c:pt idx="0">
                  <c:v>29874.5</c:v>
                </c:pt>
                <c:pt idx="1">
                  <c:v>29183.543181818179</c:v>
                </c:pt>
                <c:pt idx="2">
                  <c:v>33489.788461538461</c:v>
                </c:pt>
                <c:pt idx="3">
                  <c:v>82293.74500000001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1C3-4484-A057-5CE53BCDB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506672"/>
        <c:axId val="6135077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Data_Analysis!$B$16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Data_Analysis!$A$17:$A$20</c15:sqref>
                        </c15:formulaRef>
                      </c:ext>
                    </c:extLst>
                    <c:strCache>
                      <c:ptCount val="4"/>
                      <c:pt idx="0">
                        <c:v>Stocking Associate</c:v>
                      </c:pt>
                      <c:pt idx="1">
                        <c:v>Inventory Retrieving Associate</c:v>
                      </c:pt>
                      <c:pt idx="2">
                        <c:v>Customer Service Representative</c:v>
                      </c:pt>
                      <c:pt idx="3">
                        <c:v>Category Manager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Data_Analysis!$B$17:$B$20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51C3-4484-A057-5CE53BCDBBB3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Data_Analysis!$C$16</c15:sqref>
                        </c15:formulaRef>
                      </c:ext>
                    </c:extLst>
                    <c:strCache>
                      <c:ptCount val="1"/>
                      <c:pt idx="0">
                        <c:v>Male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Data_Analysis!$A$17:$A$20</c15:sqref>
                        </c15:formulaRef>
                      </c:ext>
                    </c:extLst>
                    <c:strCache>
                      <c:ptCount val="4"/>
                      <c:pt idx="0">
                        <c:v>Stocking Associate</c:v>
                      </c:pt>
                      <c:pt idx="1">
                        <c:v>Inventory Retrieving Associate</c:v>
                      </c:pt>
                      <c:pt idx="2">
                        <c:v>Customer Service Representative</c:v>
                      </c:pt>
                      <c:pt idx="3">
                        <c:v>Category Manager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Data_Analysis!$C$17:$C$20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60</c:v>
                      </c:pt>
                      <c:pt idx="1">
                        <c:v>26</c:v>
                      </c:pt>
                      <c:pt idx="2">
                        <c:v>22</c:v>
                      </c:pt>
                      <c:pt idx="3">
                        <c:v>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1C3-4484-A057-5CE53BCDBBB3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Data_Analysis!$D$16</c15:sqref>
                        </c15:formulaRef>
                      </c:ext>
                    </c:extLst>
                    <c:strCache>
                      <c:ptCount val="1"/>
                      <c:pt idx="0">
                        <c:v>Female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Data_Analysis!$A$17:$A$20</c15:sqref>
                        </c15:formulaRef>
                      </c:ext>
                    </c:extLst>
                    <c:strCache>
                      <c:ptCount val="4"/>
                      <c:pt idx="0">
                        <c:v>Stocking Associate</c:v>
                      </c:pt>
                      <c:pt idx="1">
                        <c:v>Inventory Retrieving Associate</c:v>
                      </c:pt>
                      <c:pt idx="2">
                        <c:v>Customer Service Representative</c:v>
                      </c:pt>
                      <c:pt idx="3">
                        <c:v>Category Manager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Data_Analysis!$D$17:$D$20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45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1C3-4484-A057-5CE53BCDBBB3}"/>
                  </c:ext>
                </c:extLst>
              </c15:ser>
            </c15:filteredBarSeries>
          </c:ext>
        </c:extLst>
      </c:barChart>
      <c:catAx>
        <c:axId val="613506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07752"/>
        <c:crosses val="autoZero"/>
        <c:auto val="1"/>
        <c:lblAlgn val="ctr"/>
        <c:lblOffset val="100"/>
        <c:noMultiLvlLbl val="0"/>
      </c:catAx>
      <c:valAx>
        <c:axId val="613507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0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Data_Analysis!$A$24</c:f>
              <c:strCache>
                <c:ptCount val="1"/>
                <c:pt idx="0">
                  <c:v>Sr. VP Sales &amp; Marketing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Data_Analysis!$B$24:$D$24</c15:sqref>
                  </c15:fullRef>
                </c:ext>
              </c:extLst>
              <c:f>Data_Analysis!$C$24:$D$24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425199.77500000002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2-46CA-A6FC-D66773E88A2A}"/>
            </c:ext>
          </c:extLst>
        </c:ser>
        <c:ser>
          <c:idx val="1"/>
          <c:order val="1"/>
          <c:tx>
            <c:strRef>
              <c:f>Data_Analysis!$A$25</c:f>
              <c:strCache>
                <c:ptCount val="1"/>
                <c:pt idx="0">
                  <c:v>Chief Legal Officer Corporate Legal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Data_Analysis!$B$25:$D$25</c15:sqref>
                  </c15:fullRef>
                </c:ext>
              </c:extLst>
              <c:f>Data_Analysis!$C$25:$D$25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380842.47499999998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2-46CA-A6FC-D66773E88A2A}"/>
            </c:ext>
          </c:extLst>
        </c:ser>
        <c:ser>
          <c:idx val="2"/>
          <c:order val="2"/>
          <c:tx>
            <c:strRef>
              <c:f>Data_Analysis!$A$26</c:f>
              <c:strCache>
                <c:ptCount val="1"/>
                <c:pt idx="0">
                  <c:v>Sr. VP Operations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Data_Analysis!$B$26:$D$26</c15:sqref>
                  </c15:fullRef>
                </c:ext>
              </c:extLst>
              <c:f>Data_Analysis!$C$26:$D$26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343331.95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22-46CA-A6FC-D66773E88A2A}"/>
            </c:ext>
          </c:extLst>
        </c:ser>
        <c:ser>
          <c:idx val="3"/>
          <c:order val="3"/>
          <c:tx>
            <c:strRef>
              <c:f>Data_Analysis!$A$27</c:f>
              <c:strCache>
                <c:ptCount val="1"/>
                <c:pt idx="0">
                  <c:v>Chairman Holding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Data_Analysis!$B$27:$D$27</c15:sqref>
                  </c15:fullRef>
                </c:ext>
              </c:extLst>
              <c:f>Data_Analysis!$C$27:$D$27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281250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22-46CA-A6FC-D66773E88A2A}"/>
            </c:ext>
          </c:extLst>
        </c:ser>
        <c:ser>
          <c:idx val="4"/>
          <c:order val="4"/>
          <c:tx>
            <c:strRef>
              <c:f>Data_Analysis!$A$28</c:f>
              <c:strCache>
                <c:ptCount val="1"/>
                <c:pt idx="0">
                  <c:v>General Counsel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Data_Analysis!$B$28:$D$28</c15:sqref>
                  </c15:fullRef>
                </c:ext>
              </c:extLst>
              <c:f>Data_Analysis!$C$28:$D$28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262650.05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22-46CA-A6FC-D66773E88A2A}"/>
            </c:ext>
          </c:extLst>
        </c:ser>
        <c:ser>
          <c:idx val="5"/>
          <c:order val="5"/>
          <c:tx>
            <c:strRef>
              <c:f>Data_Analysis!$A$29</c:f>
              <c:strCache>
                <c:ptCount val="1"/>
                <c:pt idx="0">
                  <c:v>CFO NA Region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Data_Analysis!$B$29:$D$29</c15:sqref>
                  </c15:fullRef>
                </c:ext>
              </c:extLst>
              <c:f>Data_Analysis!$C$29:$D$29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260100.09999999998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22-46CA-A6FC-D66773E88A2A}"/>
            </c:ext>
          </c:extLst>
        </c:ser>
        <c:ser>
          <c:idx val="6"/>
          <c:order val="6"/>
          <c:tx>
            <c:strRef>
              <c:f>Data_Analysis!$A$30</c:f>
              <c:strCache>
                <c:ptCount val="1"/>
                <c:pt idx="0">
                  <c:v>VP International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Data_Analysis!$B$30:$D$30</c15:sqref>
                  </c15:fullRef>
                </c:ext>
              </c:extLst>
              <c:f>Data_Analysis!$C$30:$D$30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246281.25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22-46CA-A6FC-D66773E88A2A}"/>
            </c:ext>
          </c:extLst>
        </c:ser>
        <c:ser>
          <c:idx val="7"/>
          <c:order val="7"/>
          <c:tx>
            <c:strRef>
              <c:f>Data_Analysis!$A$31</c:f>
              <c:strCache>
                <c:ptCount val="1"/>
                <c:pt idx="0">
                  <c:v>VP Marketplace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Data_Analysis!$B$31:$D$31</c15:sqref>
                  </c15:fullRef>
                </c:ext>
              </c:extLst>
              <c:f>Data_Analysis!$C$31:$D$31</c:f>
              <c:numCache>
                <c:formatCode>_("$"* #,##0.00_);_("$"* \(#,##0.00\);_("$"* "-"??_);_(@_)</c:formatCode>
                <c:ptCount val="2"/>
                <c:pt idx="0">
                  <c:v>231875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22-46CA-A6FC-D66773E88A2A}"/>
            </c:ext>
          </c:extLst>
        </c:ser>
        <c:ser>
          <c:idx val="8"/>
          <c:order val="8"/>
          <c:tx>
            <c:strRef>
              <c:f>Data_Analysis!$A$32</c:f>
              <c:strCache>
                <c:ptCount val="1"/>
                <c:pt idx="0">
                  <c:v>VP Admin Sales and Mktg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Data_Analysis!$B$32:$D$32</c15:sqref>
                  </c15:fullRef>
                </c:ext>
              </c:extLst>
              <c:f>Data_Analysis!$C$32:$D$32</c:f>
              <c:numCache>
                <c:formatCode>_("$"* #,##0.00_);_("$"* \(#,##0.00\);_("$"* "-"??_);_(@_)</c:formatCode>
                <c:ptCount val="2"/>
                <c:pt idx="0">
                  <c:v>225205.17500000002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22-46CA-A6FC-D66773E88A2A}"/>
            </c:ext>
          </c:extLst>
        </c:ser>
        <c:ser>
          <c:idx val="9"/>
          <c:order val="9"/>
          <c:tx>
            <c:strRef>
              <c:f>Data_Analysis!$A$33</c:f>
              <c:strCache>
                <c:ptCount val="1"/>
                <c:pt idx="0">
                  <c:v>Sr Dir Corporate Engineer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Data_Analysis!$B$23:$D$23</c15:sqref>
                  </c15:fullRef>
                </c:ext>
              </c:extLst>
              <c:f>Data_Analysis!$C$23:$D$23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Data_Analysis!$B$33:$D$33</c15:sqref>
                  </c15:fullRef>
                </c:ext>
              </c:extLst>
              <c:f>Data_Analysis!$C$33:$D$33</c:f>
              <c:numCache>
                <c:formatCode>_("$"* #,##0.00_);_("$"* \(#,##0.00\);_("$"* "-"??_);_(@_)</c:formatCode>
                <c:ptCount val="2"/>
                <c:pt idx="0">
                  <c:v>0</c:v>
                </c:pt>
                <c:pt idx="1">
                  <c:v>221063.69999999998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022-46CA-A6FC-D66773E88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503432"/>
        <c:axId val="613505952"/>
      </c:barChart>
      <c:catAx>
        <c:axId val="613503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05952"/>
        <c:crosses val="autoZero"/>
        <c:auto val="1"/>
        <c:lblAlgn val="ctr"/>
        <c:lblOffset val="100"/>
        <c:noMultiLvlLbl val="0"/>
      </c:catAx>
      <c:valAx>
        <c:axId val="61350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0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529590</xdr:colOff>
      <xdr:row>2</xdr:row>
      <xdr:rowOff>40005</xdr:rowOff>
    </xdr:from>
    <xdr:to>
      <xdr:col>13</xdr:col>
      <xdr:colOff>621030</xdr:colOff>
      <xdr:row>16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F2F488-A3DB-09DA-B382-71C376E6B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17</xdr:row>
      <xdr:rowOff>161925</xdr:rowOff>
    </xdr:from>
    <xdr:to>
      <xdr:col>13</xdr:col>
      <xdr:colOff>548640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89A80A-2B79-B2D8-4F84-5A66F00E53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365760</xdr:colOff>
      <xdr:row>33</xdr:row>
      <xdr:rowOff>100965</xdr:rowOff>
    </xdr:from>
    <xdr:to>
      <xdr:col>13</xdr:col>
      <xdr:colOff>457200</xdr:colOff>
      <xdr:row>48</xdr:row>
      <xdr:rowOff>100965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546E7-77E1-710C-6E31-0FE8E0404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dha Khanal" refreshedDate="45956.973766087962" createdVersion="8" refreshedVersion="8" minRefreshableVersion="3" recordCount="748" xr:uid="{D4BF1AF5-96F5-45EC-9656-6095C404DD9E}">
  <cacheSource type="worksheet">
    <worksheetSource ref="A1:M1048576" sheet="Census"/>
  </cacheSource>
  <cacheFields count="12">
    <cacheField name="EMPLOYEE_ID" numFmtId="0">
      <sharedItems containsString="0" containsBlank="1" containsNumber="1" containsInteger="1" minValue="1238911001" maxValue="1238911747"/>
    </cacheField>
    <cacheField name="GENDER" numFmtId="0">
      <sharedItems containsBlank="1" count="3">
        <s v="Female"/>
        <s v="Male"/>
        <m/>
      </sharedItems>
    </cacheField>
    <cacheField name="DATE_OF_BIRTH" numFmtId="0">
      <sharedItems containsNonDate="0" containsDate="1" containsString="0" containsBlank="1" minDate="1952-04-28T00:00:00" maxDate="2005-07-19T00:00:00"/>
    </cacheField>
    <cacheField name="DATE_OF_HIRE" numFmtId="0">
      <sharedItems containsNonDate="0" containsDate="1" containsString="0" containsBlank="1" minDate="1984-10-08T00:00:00" maxDate="2025-09-19T00:00:00"/>
    </cacheField>
    <cacheField name="TERMINATION_DATE" numFmtId="0">
      <sharedItems containsNonDate="0" containsDate="1" containsString="0" containsBlank="1" minDate="1999-11-24T00:00:00" maxDate="2025-09-11T00:00:00"/>
    </cacheField>
    <cacheField name="OCCUPATION" numFmtId="0">
      <sharedItems containsBlank="1" count="308">
        <s v="Stocking Associate"/>
        <s v="Warehouse Receiving Associate"/>
        <s v="Board Member"/>
        <s v="Customer Service Help Desk"/>
        <s v="Inventory Associate"/>
        <s v="Inventory Supervisor"/>
        <s v="Marketing Coordinator"/>
        <s v="Accountant"/>
        <s v="Accounting Associate"/>
        <s v="Supervisor"/>
        <s v="Senior Category Manager"/>
        <s v="Inventory Retrieving Associate"/>
        <s v="Manager of Operations"/>
        <s v="Field App Engineer"/>
        <s v="Senior Copywriter"/>
        <s v="Agent Quality Control Monitoring"/>
        <s v="Accountant AP"/>
        <s v="Inventory Cycle Associate"/>
        <s v="Customer Service Associate"/>
        <s v="Shipping Associate"/>
        <s v="Inventory Transfer Associate"/>
        <s v="Dir Content Operation"/>
        <s v="Warehouse Supervisor"/>
        <s v="Sorter Associate"/>
        <s v="Sr. VP Sales &amp; Marketing"/>
        <s v="Chairman Holding"/>
        <s v="Repair Technician"/>
        <s v="Clerk Accounting AP"/>
        <s v="Sr Mgr Project"/>
        <s v="Warehouse Associate"/>
        <s v="Customer Service Representative"/>
        <s v="Technician IT Warehouse"/>
        <s v="Administrator HR"/>
        <s v="Assoc Facilities III General Agent"/>
        <s v="Shipping Supervisor"/>
        <s v="Assoc Facilities I GA"/>
        <s v="General Agent Supervisor"/>
        <s v="General Agent Associate"/>
        <s v="Head Wholesale"/>
        <s v="VP Customer Service"/>
        <s v="Manager of Information Technology"/>
        <s v="Sr Web Editor"/>
        <s v="Dir Creative Marketing"/>
        <s v="Eng Conveyor Systems"/>
        <s v="Customer Service Representative Help Desk"/>
        <s v="Technician Maintenance"/>
        <s v="Manager of Warehouse Operations"/>
        <s v="Customer Service Rep Associate"/>
        <s v="Assoc Facilities III GA"/>
        <s v="Category Manager"/>
        <s v="VP Admin Sales and Mktg"/>
        <s v="Shipping Lead"/>
        <s v="Sr. Category Manager Mktg"/>
        <s v="Dir Sales Channel Mgmt"/>
        <s v="Administrator Purchasing"/>
        <s v="Dir Comp &amp; Benefits HR"/>
        <s v="Dir Training &amp; Contracts"/>
        <s v="Sr Analyst Corp Business Systems"/>
        <s v="Receiving Supervisor"/>
        <s v="Sup Contact Cust Serv"/>
        <s v="Account Executive Small Accounts"/>
        <s v="Technician Conveyor"/>
        <s v="Mgr Country"/>
        <s v="Facilities Assoc III"/>
        <s v="Network Engineer"/>
        <s v="VP International"/>
        <s v="Accountant AR"/>
        <s v="General Agent"/>
        <s v="Sr Mgr Facility Maintenance"/>
        <s v="Architect"/>
        <s v="Inventory Lead"/>
        <s v="Product Manager"/>
        <s v="Sr Mgr Safety"/>
        <s v="Assoc Will Call Center"/>
        <s v="Sales Specialist"/>
        <s v="Sr Dir Product Management"/>
        <s v="HR Business Partner"/>
        <s v="Photographer Imaging"/>
        <s v="Assoc Inventory Picking"/>
        <s v="CFO NA Region"/>
        <s v="Sr Mgr Fraud Prevention"/>
        <s v="North America Head of HR"/>
        <s v="Agent Support Desk Customer Service"/>
        <s v="Dir Growth &amp; Retention"/>
        <s v="Merchandiser MB"/>
        <s v="Dir Product Management"/>
        <s v="Sr Category Manager Development"/>
        <s v="General Counsel"/>
        <s v="Manager of Transporation and Delivery"/>
        <s v="Agent Claims Transportation"/>
        <s v="Sr Mgr HR"/>
        <s v="Merchandiser Warranty Service Rep"/>
        <s v="VP Marketplace"/>
        <s v="Receiving Associate"/>
        <s v="Director of International Business"/>
        <s v="Warehouse Receiving Lead"/>
        <s v="Telecom Engineer"/>
        <s v="Packaging Associate"/>
        <s v="Dir Advertising Sales MGR"/>
        <s v="Customer Retention Supervisor"/>
        <s v="Merch Manager"/>
        <s v="Sr. Mgr Financial Analysis"/>
        <s v="Dir App Dev"/>
        <s v="Coord Project Legal"/>
        <s v="Coord Imaging"/>
        <s v="Chief Legal Officer Corporate Legal"/>
        <s v="Sr Corp Counsel"/>
        <s v="Dir Learning &amp; Organization"/>
        <s v="Dir Information Security"/>
        <s v="Agent Verification"/>
        <s v="Warehouse Assistant Supervisor"/>
        <s v="Dir Legal Affairs"/>
        <s v="Sup Inventory"/>
        <s v="Coord Creative Services"/>
        <s v="Dir Backend Sys Backend"/>
        <s v="Domain Head"/>
        <s v="Sr Accountant Financial"/>
        <s v="Dir Talent Acquisition"/>
        <s v="Accountant Revenue Accounts Receivable"/>
        <s v="Agent Public Image Customer Service"/>
        <s v="Merchandiser"/>
        <s v="Sales Manager"/>
        <s v="Engineer Application Developer"/>
        <s v="Sr Accountant AP"/>
        <s v="Sr Category Mgr"/>
        <s v="Sr Eng Systems"/>
        <s v="Sr Account Executive"/>
        <s v="Application Developer Engineer"/>
        <s v="Data Integration Specialist"/>
        <s v="Director User Experience &amp; Developer"/>
        <s v="Merchandiser Input Output"/>
        <s v="Sr Eng Telecom"/>
        <s v="Sr Graphic Designer"/>
        <s v="Director of Accounting"/>
        <s v="Mgr Content Support Web"/>
        <s v="Sr Dir Category Mktg"/>
        <s v="Sr Corporate Counselor"/>
        <s v="Sr Mgr Corp Bus Systems"/>
        <s v="Sr Dir Corporate Engineer"/>
        <s v="Sr Designer Web"/>
        <s v="Sup Contact Customer Service"/>
        <s v="Sr. VP Operations"/>
        <s v="Web Content Specialist"/>
        <s v="Sr Eng App Developer"/>
        <s v="Dir Financial Planning"/>
        <s v="Directory of US Marketplace"/>
        <s v="Sr Recruiter HR"/>
        <s v="Sr Eng Network"/>
        <s v="Sr Eng App Dev"/>
        <s v="Administrator 3rd Party"/>
        <s v="Architect Systems"/>
        <s v="Specialist Product Marke"/>
        <s v="Sup Revenue AR"/>
        <s v="Investigations Supervisor"/>
        <s v="Coord Logistic Transport"/>
        <s v="Server System Developer"/>
        <s v="Sr Analyst Corp Bus System"/>
        <s v="Sup Inventory Picking"/>
        <s v="Spec Seller Services"/>
        <s v="Printer Marketing Director"/>
        <s v="Dir Project Mgmt"/>
        <s v="Mgr Business Management"/>
        <s v="Mgr Promotion Center"/>
        <s v="Manager"/>
        <s v="Merchandise Specialist"/>
        <s v="Site Search Web Specialist"/>
        <s v="Analyst Bus System"/>
        <s v="Sr Designer Digital Marketing"/>
        <s v="Mgr Email Mktg"/>
        <s v="Web Designer"/>
        <s v="Dir Financial Reporting"/>
        <s v="Account Executive"/>
        <s v="Mgr Internal Audit"/>
        <s v="Systems Engineer"/>
        <s v="Accountant Accounts Receivable"/>
        <s v="Technician Desktop Support"/>
        <s v="Engingeer Application Developer"/>
        <s v="Business Specialist"/>
        <s v="Sup Desktop Support"/>
        <s v="Dir Dynamic Marketing"/>
        <s v="Contact Center Helpdesk"/>
        <s v="Auditor"/>
        <s v="Producer Creative Design"/>
        <s v="Mgr Digital Content"/>
        <s v="Mgr Merchandising Marketplace"/>
        <s v="Specialist Product Market"/>
        <s v="Merchandiser Server System"/>
        <s v="Web Editor"/>
        <s v="Category Manager Warranty"/>
        <s v="Warehouse Shipping Lead"/>
        <s v="Warehouse Inventory Team Lead"/>
        <s v="Asst Product Manager"/>
        <s v="Senior Engineer Application Developer"/>
        <s v="Category Manager Marketing"/>
        <s v="Testing Engineer"/>
        <s v="Promotional Marketing Director"/>
        <s v="Sr Designer Mktg"/>
        <s v="Dir Merchandising &amp; Marketing"/>
        <s v="Sr Analyst Mkt Research"/>
        <s v="Sr Eng App Dev Backend"/>
        <s v="Engineer App Support"/>
        <s v="Category Manager Marketplace"/>
        <s v="Merchandise Manager"/>
        <s v="Dir Web Management"/>
        <s v="Spec Virtual Fulfillment"/>
        <s v="Sr Engineer Application Developer"/>
        <s v="Analyst Data Mining"/>
        <s v="Dir International Sales"/>
        <s v="Workforce Manager Customer Service"/>
        <s v="Sr UI/UX Designer MIS"/>
        <s v="Mgr Mktg Marketing"/>
        <s v="Merchandising Manager"/>
        <s v="Eng App Support"/>
        <s v="Customer Service Representative Supervisor"/>
        <s v="Sr Marketing Speciliat"/>
        <s v="Contact Customer Service Supervisor"/>
        <s v="Application Support Engineer"/>
        <s v="Account Executive Regional Accounts"/>
        <s v="Sr Engineer"/>
        <s v="Ebay Specialist"/>
        <s v="Designer Email Graphic"/>
        <s v="Sr Analyst Corp Bus Systems"/>
        <s v="Category Manager Video Game"/>
        <s v="Sr Accountant"/>
        <s v="Category Manager Recert Com"/>
        <s v="Sr Mgr Financial Planning"/>
        <s v="Merchant Manager"/>
        <s v="Merchandiser Wireless"/>
        <s v="Investigator"/>
        <s v="Analyst Financial"/>
        <s v="Merchandiser Desktop PC"/>
        <s v="Project Mgr IT"/>
        <s v="Sup Shipping"/>
        <s v="Analyst Fraud"/>
        <s v="Account Mgr Small Business Accounts"/>
        <s v="Analyst Corp Bus Systems"/>
        <s v="CPU Merchandiser"/>
        <s v="Asst Mgr Promotions Marketing"/>
        <s v="Marketing Specialist"/>
        <s v="Marketing Mgr Canada"/>
        <s v="Accounts Payable Supervisor"/>
        <s v="Small Business Markets Specialist"/>
        <s v="Sr Manager of Commerce"/>
        <s v="Sr HR Business Partner"/>
        <s v="Spec Bus Intel"/>
        <s v="Sup Transportation"/>
        <s v="Sup Vendor Credit Collection"/>
        <s v="Content Manager"/>
        <s v="Will Call Manager"/>
        <s v="Will Call Associate"/>
        <s v="Spec Transportation Int"/>
        <s v="Sup Warehouse Inventory"/>
        <s v="Sr Spec Marketing"/>
        <s v="Mgr Sales Channel Mgmt"/>
        <s v="Sr Analyst Market Research"/>
        <s v="Asst Admin GA"/>
        <s v="Agent QC Monitoring"/>
        <s v="Sr Editor Marketing"/>
        <s v="Merchandiser Monitor"/>
        <s v="Promotions Manager"/>
        <s v="Office Coordinator"/>
        <s v="Analyst Business Applications"/>
        <s v="Merchandiser Cable"/>
        <s v="Mgr Seller Services"/>
        <s v="Spec Promotions"/>
        <s v="Sr Spec Remarketing"/>
        <s v="Content Specialist"/>
        <s v="Sr Spec Email Promotion"/>
        <s v="Customer Support"/>
        <s v="Marketing Manager"/>
        <s v="Rep Hybrid Center Customer Service"/>
        <s v="Rep Customer Retention"/>
        <s v="Spec Knowledge Management"/>
        <s v="Business Analyst"/>
        <s v="Spec Search Engine Marketing"/>
        <s v="Assistant Category Manager"/>
        <s v="Spec Business Management"/>
        <s v="Lead Inventory Picking"/>
        <s v="Sr Helpdesk Coordinator"/>
        <s v="Asst Workforce Mgmt"/>
        <s v="Video Editor"/>
        <s v="Support Desk Agent"/>
        <s v="Lead Customer Relations"/>
        <s v="Account Mgr Marketplace"/>
        <s v="Inventory Receiving Lead"/>
        <s v="Assistant Human Resource Info Systems"/>
        <s v="Management Trainee"/>
        <s v="Coach Training"/>
        <s v="Fraud Preventiion Supervisor"/>
        <s v="Sr Marketing Designer"/>
        <s v="Promotions Specialist"/>
        <s v="Shipping Manager"/>
        <s v="Account Manager"/>
        <s v="Spec QA Promotion Center"/>
        <s v="Administrative Assistant"/>
        <s v="Spec Promotion Email"/>
        <s v="Inventory Receiving Associate"/>
        <s v="eBay Customer Support"/>
        <s v="Sr Accounts Receivable"/>
        <s v="Spec Targeted Promotion"/>
        <s v="Lead IQC Testing"/>
        <s v="Fraud Analyst"/>
        <s v="IQC Tester"/>
        <s v="Lead Stocker Logistics"/>
        <s v="Customer Support Representative"/>
        <s v="Email Promotions Specialist"/>
        <s v="Analyst Fraud Fraud Prevention"/>
        <m/>
      </sharedItems>
    </cacheField>
    <cacheField name="SALARY" numFmtId="0">
      <sharedItems containsString="0" containsBlank="1" containsNumber="1" minValue="26000" maxValue="425199.77500000002"/>
    </cacheField>
    <cacheField name="Knowledge of Work" numFmtId="0">
      <sharedItems containsString="0" containsBlank="1" containsNumber="1" containsInteger="1" minValue="1" maxValue="3"/>
    </cacheField>
    <cacheField name="Communication" numFmtId="0">
      <sharedItems containsString="0" containsBlank="1" containsNumber="1" containsInteger="1" minValue="1" maxValue="3"/>
    </cacheField>
    <cacheField name="Teamwork" numFmtId="0">
      <sharedItems containsString="0" containsBlank="1" containsNumber="1" containsInteger="1" minValue="1" maxValue="3"/>
    </cacheField>
    <cacheField name="Leadership" numFmtId="0">
      <sharedItems containsString="0" containsBlank="1" containsNumber="1" containsInteger="1" minValue="1" maxValue="3"/>
    </cacheField>
    <cacheField name="Quality of Work" numFmtId="0">
      <sharedItems containsString="0" containsBlank="1" containsNumber="1" containsInteger="1" minValue="1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8">
  <r>
    <n v="1238911001"/>
    <x v="0"/>
    <d v="1952-04-28T00:00:00"/>
    <d v="1984-10-08T00:00:00"/>
    <d v="1999-11-24T00:00:00"/>
    <x v="0"/>
    <n v="31200"/>
    <n v="3"/>
    <n v="3"/>
    <n v="2"/>
    <n v="1"/>
    <n v="1"/>
  </r>
  <r>
    <n v="1238911002"/>
    <x v="1"/>
    <d v="1954-04-19T00:00:00"/>
    <d v="1999-07-09T00:00:00"/>
    <m/>
    <x v="0"/>
    <n v="26000"/>
    <n v="1"/>
    <n v="3"/>
    <n v="1"/>
    <n v="1"/>
    <n v="3"/>
  </r>
  <r>
    <n v="1238911003"/>
    <x v="0"/>
    <d v="1956-03-13T00:00:00"/>
    <d v="1990-05-21T00:00:00"/>
    <m/>
    <x v="0"/>
    <n v="30602"/>
    <n v="2"/>
    <n v="3"/>
    <n v="1"/>
    <n v="1"/>
    <n v="2"/>
  </r>
  <r>
    <n v="1238911004"/>
    <x v="0"/>
    <d v="1957-02-13T00:00:00"/>
    <d v="2001-04-14T00:00:00"/>
    <m/>
    <x v="1"/>
    <n v="29120"/>
    <n v="2"/>
    <n v="3"/>
    <n v="2"/>
    <n v="3"/>
    <n v="1"/>
  </r>
  <r>
    <n v="1238911005"/>
    <x v="0"/>
    <d v="1957-08-02T00:00:00"/>
    <d v="1998-07-30T00:00:00"/>
    <m/>
    <x v="2"/>
    <n v="75000"/>
    <n v="1"/>
    <n v="2"/>
    <n v="1"/>
    <n v="1"/>
    <n v="2"/>
  </r>
  <r>
    <n v="1238911006"/>
    <x v="1"/>
    <d v="1995-01-07T00:00:00"/>
    <d v="2024-05-29T00:00:00"/>
    <m/>
    <x v="3"/>
    <n v="46280"/>
    <n v="3"/>
    <n v="2"/>
    <n v="3"/>
    <n v="1"/>
    <n v="1"/>
  </r>
  <r>
    <n v="1238911007"/>
    <x v="0"/>
    <d v="1958-02-07T00:00:00"/>
    <d v="2003-10-25T00:00:00"/>
    <d v="2025-03-19T00:00:00"/>
    <x v="4"/>
    <n v="27586"/>
    <n v="3"/>
    <n v="3"/>
    <n v="1"/>
    <n v="1"/>
    <n v="3"/>
  </r>
  <r>
    <n v="1238911008"/>
    <x v="0"/>
    <d v="1958-02-20T00:00:00"/>
    <d v="2006-12-30T00:00:00"/>
    <m/>
    <x v="5"/>
    <n v="67933.774999999994"/>
    <n v="3"/>
    <n v="1"/>
    <n v="2"/>
    <n v="1"/>
    <n v="3"/>
  </r>
  <r>
    <n v="1238911009"/>
    <x v="1"/>
    <d v="1958-04-08T00:00:00"/>
    <d v="2008-08-08T00:00:00"/>
    <m/>
    <x v="6"/>
    <n v="67860"/>
    <n v="3"/>
    <n v="1"/>
    <n v="1"/>
    <n v="3"/>
    <n v="3"/>
  </r>
  <r>
    <n v="1238911010"/>
    <x v="0"/>
    <d v="1995-01-30T00:00:00"/>
    <d v="2016-12-07T00:00:00"/>
    <m/>
    <x v="6"/>
    <n v="67860"/>
    <n v="3"/>
    <n v="2"/>
    <n v="3"/>
    <n v="2"/>
    <n v="2"/>
  </r>
  <r>
    <n v="1238911011"/>
    <x v="0"/>
    <d v="1993-03-23T00:00:00"/>
    <d v="2017-08-11T00:00:00"/>
    <d v="2025-01-05T00:00:00"/>
    <x v="1"/>
    <n v="30030"/>
    <n v="1"/>
    <n v="1"/>
    <n v="1"/>
    <n v="2"/>
    <n v="3"/>
  </r>
  <r>
    <n v="1238911012"/>
    <x v="0"/>
    <d v="1959-05-03T00:00:00"/>
    <d v="2004-12-03T00:00:00"/>
    <d v="2021-10-18T00:00:00"/>
    <x v="0"/>
    <n v="27456"/>
    <n v="2"/>
    <n v="3"/>
    <n v="3"/>
    <n v="2"/>
    <n v="2"/>
  </r>
  <r>
    <n v="1238911013"/>
    <x v="0"/>
    <d v="1995-12-22T00:00:00"/>
    <d v="2021-04-10T00:00:00"/>
    <m/>
    <x v="0"/>
    <n v="32864"/>
    <n v="3"/>
    <n v="2"/>
    <n v="3"/>
    <n v="3"/>
    <n v="1"/>
  </r>
  <r>
    <n v="1238911014"/>
    <x v="0"/>
    <d v="1959-08-22T00:00:00"/>
    <d v="1999-08-28T00:00:00"/>
    <m/>
    <x v="0"/>
    <n v="32864"/>
    <n v="3"/>
    <n v="2"/>
    <n v="3"/>
    <n v="3"/>
    <n v="3"/>
  </r>
  <r>
    <n v="1238911015"/>
    <x v="1"/>
    <d v="1959-09-05T00:00:00"/>
    <d v="2006-09-16T00:00:00"/>
    <d v="2013-10-17T00:00:00"/>
    <x v="7"/>
    <n v="43914"/>
    <n v="3"/>
    <n v="2"/>
    <n v="2"/>
    <n v="2"/>
    <n v="2"/>
  </r>
  <r>
    <n v="1238911016"/>
    <x v="1"/>
    <d v="1985-02-12T00:00:00"/>
    <d v="2012-11-02T00:00:00"/>
    <d v="2017-11-26T00:00:00"/>
    <x v="8"/>
    <n v="43914"/>
    <n v="1"/>
    <n v="3"/>
    <n v="1"/>
    <n v="2"/>
    <n v="2"/>
  </r>
  <r>
    <n v="1238911017"/>
    <x v="0"/>
    <d v="1959-10-02T00:00:00"/>
    <d v="1990-05-21T00:00:00"/>
    <d v="2024-11-23T00:00:00"/>
    <x v="0"/>
    <n v="26520"/>
    <n v="2"/>
    <n v="1"/>
    <n v="3"/>
    <n v="3"/>
    <n v="1"/>
  </r>
  <r>
    <n v="1238911018"/>
    <x v="1"/>
    <d v="1959-10-23T00:00:00"/>
    <d v="2003-10-10T00:00:00"/>
    <d v="2021-04-11T00:00:00"/>
    <x v="9"/>
    <n v="74679.475000000006"/>
    <n v="3"/>
    <n v="2"/>
    <n v="1"/>
    <n v="3"/>
    <n v="1"/>
  </r>
  <r>
    <n v="1238911019"/>
    <x v="1"/>
    <d v="1959-12-19T00:00:00"/>
    <d v="1990-05-21T00:00:00"/>
    <m/>
    <x v="0"/>
    <n v="27300"/>
    <n v="2"/>
    <n v="3"/>
    <n v="2"/>
    <n v="2"/>
    <n v="1"/>
  </r>
  <r>
    <n v="1238911020"/>
    <x v="0"/>
    <d v="1960-02-02T00:00:00"/>
    <d v="2006-01-04T00:00:00"/>
    <m/>
    <x v="10"/>
    <n v="107723.2"/>
    <n v="2"/>
    <n v="3"/>
    <n v="3"/>
    <n v="2"/>
    <n v="3"/>
  </r>
  <r>
    <n v="1238911021"/>
    <x v="0"/>
    <d v="1960-02-12T00:00:00"/>
    <d v="1999-01-23T00:00:00"/>
    <d v="2019-08-18T00:00:00"/>
    <x v="0"/>
    <n v="27571.25"/>
    <n v="2"/>
    <n v="2"/>
    <n v="1"/>
    <n v="1"/>
    <n v="3"/>
  </r>
  <r>
    <n v="1238911022"/>
    <x v="0"/>
    <d v="1977-04-29T00:00:00"/>
    <d v="2009-01-02T00:00:00"/>
    <m/>
    <x v="0"/>
    <n v="27571.25"/>
    <n v="1"/>
    <n v="2"/>
    <n v="1"/>
    <n v="1"/>
    <n v="3"/>
  </r>
  <r>
    <n v="1238911023"/>
    <x v="0"/>
    <d v="1989-07-20T00:00:00"/>
    <d v="2022-01-10T00:00:00"/>
    <m/>
    <x v="0"/>
    <n v="30784"/>
    <n v="3"/>
    <n v="3"/>
    <n v="3"/>
    <n v="2"/>
    <n v="3"/>
  </r>
  <r>
    <n v="1238911024"/>
    <x v="0"/>
    <d v="1960-07-21T00:00:00"/>
    <d v="2001-08-02T00:00:00"/>
    <m/>
    <x v="0"/>
    <n v="27300"/>
    <n v="3"/>
    <n v="2"/>
    <n v="2"/>
    <n v="2"/>
    <n v="2"/>
  </r>
  <r>
    <n v="1238911025"/>
    <x v="0"/>
    <d v="1960-08-10T00:00:00"/>
    <d v="1999-09-20T00:00:00"/>
    <m/>
    <x v="5"/>
    <n v="65000"/>
    <n v="2"/>
    <n v="1"/>
    <n v="2"/>
    <n v="3"/>
    <n v="3"/>
  </r>
  <r>
    <n v="1238911026"/>
    <x v="0"/>
    <d v="1960-09-21T00:00:00"/>
    <d v="2003-04-18T00:00:00"/>
    <m/>
    <x v="11"/>
    <n v="28596.975000000002"/>
    <n v="1"/>
    <n v="1"/>
    <n v="3"/>
    <n v="1"/>
    <n v="1"/>
  </r>
  <r>
    <n v="1238911027"/>
    <x v="0"/>
    <d v="1960-10-01T00:00:00"/>
    <d v="2009-12-25T00:00:00"/>
    <m/>
    <x v="12"/>
    <n v="101936.25"/>
    <n v="2"/>
    <n v="2"/>
    <n v="2"/>
    <n v="2"/>
    <n v="2"/>
  </r>
  <r>
    <n v="1238911028"/>
    <x v="0"/>
    <d v="1961-01-12T00:00:00"/>
    <d v="1999-05-14T00:00:00"/>
    <m/>
    <x v="13"/>
    <n v="93062.5"/>
    <n v="1"/>
    <n v="3"/>
    <n v="3"/>
    <n v="1"/>
    <n v="1"/>
  </r>
  <r>
    <n v="1238911029"/>
    <x v="1"/>
    <d v="1961-01-14T00:00:00"/>
    <d v="1997-12-19T00:00:00"/>
    <m/>
    <x v="0"/>
    <n v="27404"/>
    <n v="3"/>
    <n v="1"/>
    <n v="3"/>
    <n v="3"/>
    <n v="1"/>
  </r>
  <r>
    <n v="1238911030"/>
    <x v="1"/>
    <d v="2000-08-31T00:00:00"/>
    <d v="2024-12-05T00:00:00"/>
    <m/>
    <x v="0"/>
    <n v="27404"/>
    <n v="2"/>
    <n v="3"/>
    <n v="2"/>
    <n v="2"/>
    <n v="1"/>
  </r>
  <r>
    <n v="1238911031"/>
    <x v="0"/>
    <d v="1961-02-11T00:00:00"/>
    <d v="1999-07-12T00:00:00"/>
    <m/>
    <x v="14"/>
    <n v="82875"/>
    <n v="1"/>
    <n v="1"/>
    <n v="2"/>
    <n v="3"/>
    <n v="1"/>
  </r>
  <r>
    <n v="1238911032"/>
    <x v="1"/>
    <d v="1999-02-02T00:00:00"/>
    <d v="2023-12-25T00:00:00"/>
    <m/>
    <x v="0"/>
    <n v="27300"/>
    <n v="1"/>
    <n v="3"/>
    <n v="1"/>
    <n v="3"/>
    <n v="3"/>
  </r>
  <r>
    <n v="1238911033"/>
    <x v="1"/>
    <d v="1961-05-12T00:00:00"/>
    <d v="1990-05-21T00:00:00"/>
    <d v="2016-12-26T00:00:00"/>
    <x v="0"/>
    <n v="27300"/>
    <n v="2"/>
    <n v="2"/>
    <n v="3"/>
    <n v="2"/>
    <n v="1"/>
  </r>
  <r>
    <n v="1238911034"/>
    <x v="0"/>
    <d v="1961-05-13T00:00:00"/>
    <d v="2002-08-08T00:00:00"/>
    <m/>
    <x v="11"/>
    <n v="28808"/>
    <n v="2"/>
    <n v="1"/>
    <n v="2"/>
    <n v="1"/>
    <n v="2"/>
  </r>
  <r>
    <n v="1238911035"/>
    <x v="0"/>
    <d v="1961-06-22T00:00:00"/>
    <d v="2007-09-13T00:00:00"/>
    <m/>
    <x v="5"/>
    <n v="60797.1"/>
    <n v="2"/>
    <n v="3"/>
    <n v="3"/>
    <n v="2"/>
    <n v="3"/>
  </r>
  <r>
    <n v="1238911036"/>
    <x v="1"/>
    <d v="1961-07-20T00:00:00"/>
    <d v="2008-12-06T00:00:00"/>
    <m/>
    <x v="15"/>
    <n v="48490"/>
    <n v="2"/>
    <n v="3"/>
    <n v="3"/>
    <n v="2"/>
    <n v="3"/>
  </r>
  <r>
    <n v="1238911037"/>
    <x v="1"/>
    <d v="1961-08-08T00:00:00"/>
    <d v="2009-04-03T00:00:00"/>
    <m/>
    <x v="0"/>
    <n v="28782"/>
    <n v="2"/>
    <n v="2"/>
    <n v="1"/>
    <n v="3"/>
    <n v="1"/>
  </r>
  <r>
    <n v="1238911038"/>
    <x v="0"/>
    <d v="1967-03-08T00:00:00"/>
    <d v="1999-05-14T00:00:00"/>
    <m/>
    <x v="0"/>
    <n v="28782"/>
    <n v="2"/>
    <n v="3"/>
    <n v="3"/>
    <n v="2"/>
    <n v="2"/>
  </r>
  <r>
    <n v="1238911039"/>
    <x v="0"/>
    <d v="1961-08-14T00:00:00"/>
    <d v="2003-06-07T00:00:00"/>
    <m/>
    <x v="11"/>
    <n v="30446"/>
    <n v="2"/>
    <n v="3"/>
    <n v="2"/>
    <n v="1"/>
    <n v="1"/>
  </r>
  <r>
    <n v="1238911040"/>
    <x v="1"/>
    <d v="1961-08-20T00:00:00"/>
    <d v="2004-10-24T00:00:00"/>
    <d v="2024-09-04T00:00:00"/>
    <x v="16"/>
    <n v="48317.5"/>
    <n v="1"/>
    <n v="1"/>
    <n v="2"/>
    <n v="2"/>
    <n v="2"/>
  </r>
  <r>
    <n v="1238911041"/>
    <x v="1"/>
    <d v="1961-10-01T00:00:00"/>
    <d v="2006-12-30T00:00:00"/>
    <m/>
    <x v="11"/>
    <n v="31044"/>
    <n v="3"/>
    <n v="3"/>
    <n v="1"/>
    <n v="1"/>
    <n v="1"/>
  </r>
  <r>
    <n v="1238911042"/>
    <x v="1"/>
    <d v="1961-09-08T00:00:00"/>
    <d v="2008-08-08T00:00:00"/>
    <m/>
    <x v="0"/>
    <n v="30732"/>
    <n v="3"/>
    <n v="2"/>
    <n v="3"/>
    <n v="2"/>
    <n v="2"/>
  </r>
  <r>
    <n v="1238911043"/>
    <x v="0"/>
    <d v="1961-09-10T00:00:00"/>
    <d v="1990-05-21T00:00:00"/>
    <d v="2014-01-27T00:00:00"/>
    <x v="17"/>
    <n v="30238"/>
    <n v="1"/>
    <n v="2"/>
    <n v="2"/>
    <n v="1"/>
    <n v="3"/>
  </r>
  <r>
    <n v="1238911044"/>
    <x v="0"/>
    <d v="1962-03-04T00:00:00"/>
    <d v="1999-12-04T00:00:00"/>
    <m/>
    <x v="0"/>
    <n v="28106"/>
    <n v="1"/>
    <n v="1"/>
    <n v="3"/>
    <n v="3"/>
    <n v="3"/>
  </r>
  <r>
    <n v="1238911045"/>
    <x v="0"/>
    <d v="1962-06-01T00:00:00"/>
    <d v="1999-08-28T00:00:00"/>
    <m/>
    <x v="0"/>
    <n v="29510"/>
    <n v="1"/>
    <n v="2"/>
    <n v="2"/>
    <n v="3"/>
    <n v="2"/>
  </r>
  <r>
    <n v="1238911046"/>
    <x v="0"/>
    <d v="1962-03-13T00:00:00"/>
    <d v="2006-09-16T00:00:00"/>
    <m/>
    <x v="0"/>
    <n v="30524"/>
    <n v="3"/>
    <n v="1"/>
    <n v="3"/>
    <n v="2"/>
    <n v="3"/>
  </r>
  <r>
    <n v="1238911047"/>
    <x v="1"/>
    <d v="1962-06-26T00:00:00"/>
    <d v="2009-02-02T00:00:00"/>
    <m/>
    <x v="18"/>
    <n v="35139"/>
    <n v="1"/>
    <n v="2"/>
    <n v="1"/>
    <n v="1"/>
    <n v="3"/>
  </r>
  <r>
    <n v="1238911048"/>
    <x v="1"/>
    <d v="1962-07-31T00:00:00"/>
    <d v="2003-10-10T00:00:00"/>
    <m/>
    <x v="19"/>
    <n v="27300"/>
    <n v="1"/>
    <n v="2"/>
    <n v="1"/>
    <n v="1"/>
    <n v="2"/>
  </r>
  <r>
    <n v="1238911049"/>
    <x v="1"/>
    <d v="1973-11-23T00:00:00"/>
    <d v="2005-11-08T00:00:00"/>
    <m/>
    <x v="0"/>
    <n v="27300"/>
    <n v="2"/>
    <n v="1"/>
    <n v="3"/>
    <n v="1"/>
    <n v="2"/>
  </r>
  <r>
    <n v="1238911050"/>
    <x v="1"/>
    <d v="1962-08-30T00:00:00"/>
    <d v="2009-07-25T00:00:00"/>
    <m/>
    <x v="0"/>
    <n v="27664"/>
    <n v="2"/>
    <n v="3"/>
    <n v="2"/>
    <n v="1"/>
    <n v="3"/>
  </r>
  <r>
    <n v="1238911051"/>
    <x v="1"/>
    <d v="1962-10-13T00:00:00"/>
    <d v="2006-01-04T00:00:00"/>
    <m/>
    <x v="11"/>
    <n v="29822.5"/>
    <n v="2"/>
    <n v="1"/>
    <n v="3"/>
    <n v="2"/>
    <n v="2"/>
  </r>
  <r>
    <n v="1238911052"/>
    <x v="1"/>
    <d v="1962-12-17T00:00:00"/>
    <d v="2004-01-23T00:00:00"/>
    <m/>
    <x v="3"/>
    <n v="33800"/>
    <n v="3"/>
    <n v="2"/>
    <n v="3"/>
    <n v="2"/>
    <n v="3"/>
  </r>
  <r>
    <n v="1238911053"/>
    <x v="1"/>
    <d v="1963-01-25T00:00:00"/>
    <d v="2000-01-10T00:00:00"/>
    <m/>
    <x v="0"/>
    <n v="31460"/>
    <n v="3"/>
    <n v="3"/>
    <n v="3"/>
    <n v="1"/>
    <n v="2"/>
  </r>
  <r>
    <n v="1238911054"/>
    <x v="0"/>
    <d v="1963-03-07T00:00:00"/>
    <d v="2001-08-02T00:00:00"/>
    <m/>
    <x v="0"/>
    <n v="30446"/>
    <n v="3"/>
    <n v="3"/>
    <n v="3"/>
    <n v="2"/>
    <n v="3"/>
  </r>
  <r>
    <n v="1238911055"/>
    <x v="0"/>
    <d v="1961-07-03T00:00:00"/>
    <d v="1990-05-21T00:00:00"/>
    <d v="2016-02-22T00:00:00"/>
    <x v="0"/>
    <n v="30446"/>
    <n v="1"/>
    <n v="3"/>
    <n v="2"/>
    <n v="2"/>
    <n v="1"/>
  </r>
  <r>
    <n v="1238911056"/>
    <x v="0"/>
    <d v="1963-03-19T00:00:00"/>
    <d v="2021-09-20T00:00:00"/>
    <d v="2024-07-05T00:00:00"/>
    <x v="0"/>
    <n v="31616"/>
    <n v="3"/>
    <n v="2"/>
    <n v="3"/>
    <n v="2"/>
    <n v="3"/>
  </r>
  <r>
    <n v="1238911057"/>
    <x v="1"/>
    <d v="1963-05-22T00:00:00"/>
    <d v="2009-12-25T00:00:00"/>
    <m/>
    <x v="20"/>
    <n v="29900"/>
    <n v="3"/>
    <n v="3"/>
    <n v="1"/>
    <n v="3"/>
    <n v="2"/>
  </r>
  <r>
    <n v="1238911058"/>
    <x v="1"/>
    <d v="1963-01-01T00:00:00"/>
    <d v="2003-04-18T00:00:00"/>
    <m/>
    <x v="11"/>
    <n v="27404"/>
    <n v="2"/>
    <n v="1"/>
    <n v="3"/>
    <n v="3"/>
    <n v="2"/>
  </r>
  <r>
    <n v="1238911059"/>
    <x v="0"/>
    <d v="1963-07-18T00:00:00"/>
    <d v="1997-12-19T00:00:00"/>
    <m/>
    <x v="21"/>
    <n v="152059.69999999998"/>
    <n v="2"/>
    <n v="2"/>
    <n v="3"/>
    <n v="2"/>
    <n v="2"/>
  </r>
  <r>
    <n v="1238911060"/>
    <x v="0"/>
    <d v="1968-02-03T00:00:00"/>
    <d v="1999-07-12T00:00:00"/>
    <d v="2019-05-19T00:00:00"/>
    <x v="22"/>
    <n v="75337.274999999994"/>
    <n v="3"/>
    <n v="1"/>
    <n v="2"/>
    <n v="1"/>
    <n v="3"/>
  </r>
  <r>
    <n v="1238911061"/>
    <x v="0"/>
    <d v="1963-07-23T00:00:00"/>
    <d v="2010-07-27T00:00:00"/>
    <m/>
    <x v="22"/>
    <n v="75337.274999999994"/>
    <n v="1"/>
    <n v="1"/>
    <n v="3"/>
    <n v="1"/>
    <n v="1"/>
  </r>
  <r>
    <n v="1238911062"/>
    <x v="1"/>
    <d v="1963-08-14T00:00:00"/>
    <d v="2002-08-08T00:00:00"/>
    <m/>
    <x v="0"/>
    <n v="27300"/>
    <n v="2"/>
    <n v="2"/>
    <n v="3"/>
    <n v="1"/>
    <n v="3"/>
  </r>
  <r>
    <n v="1238911063"/>
    <x v="1"/>
    <d v="1963-01-30T00:00:00"/>
    <d v="2007-09-13T00:00:00"/>
    <m/>
    <x v="0"/>
    <n v="27300"/>
    <n v="1"/>
    <n v="1"/>
    <n v="1"/>
    <n v="2"/>
    <n v="2"/>
  </r>
  <r>
    <n v="1238911064"/>
    <x v="1"/>
    <d v="1963-10-19T00:00:00"/>
    <d v="2010-10-20T00:00:00"/>
    <m/>
    <x v="0"/>
    <n v="27794"/>
    <n v="2"/>
    <n v="3"/>
    <n v="1"/>
    <n v="1"/>
    <n v="1"/>
  </r>
  <r>
    <n v="1238911065"/>
    <x v="1"/>
    <d v="1963-11-01T00:00:00"/>
    <d v="2008-12-06T00:00:00"/>
    <m/>
    <x v="23"/>
    <n v="26520"/>
    <n v="2"/>
    <n v="2"/>
    <n v="3"/>
    <n v="1"/>
    <n v="3"/>
  </r>
  <r>
    <n v="1238911066"/>
    <x v="0"/>
    <d v="1969-01-06T00:00:00"/>
    <d v="2016-04-02T00:00:00"/>
    <d v="2019-10-05T00:00:00"/>
    <x v="0"/>
    <n v="27404"/>
    <n v="1"/>
    <n v="2"/>
    <n v="2"/>
    <n v="2"/>
    <n v="1"/>
  </r>
  <r>
    <n v="1238911067"/>
    <x v="1"/>
    <d v="1964-04-01T00:00:00"/>
    <d v="2003-06-07T00:00:00"/>
    <m/>
    <x v="18"/>
    <n v="27569.324999999997"/>
    <n v="1"/>
    <n v="1"/>
    <n v="1"/>
    <n v="2"/>
    <n v="1"/>
  </r>
  <r>
    <n v="1238911068"/>
    <x v="1"/>
    <d v="1964-04-26T00:00:00"/>
    <d v="2016-10-24T00:00:00"/>
    <d v="2018-10-09T00:00:00"/>
    <x v="18"/>
    <n v="30706"/>
    <n v="2"/>
    <n v="1"/>
    <n v="3"/>
    <n v="2"/>
    <n v="3"/>
  </r>
  <r>
    <n v="1238911069"/>
    <x v="0"/>
    <d v="1964-07-05T00:00:00"/>
    <d v="2018-12-30T00:00:00"/>
    <d v="2022-04-11T00:00:00"/>
    <x v="0"/>
    <n v="28340"/>
    <n v="3"/>
    <n v="1"/>
    <n v="3"/>
    <n v="1"/>
    <n v="2"/>
  </r>
  <r>
    <n v="1238911070"/>
    <x v="0"/>
    <d v="1964-08-09T00:00:00"/>
    <d v="2008-08-08T00:00:00"/>
    <m/>
    <x v="0"/>
    <n v="29198"/>
    <n v="2"/>
    <n v="1"/>
    <n v="3"/>
    <n v="1"/>
    <n v="3"/>
  </r>
  <r>
    <n v="1238911071"/>
    <x v="1"/>
    <d v="1964-09-01T00:00:00"/>
    <d v="2001-08-11T00:00:00"/>
    <m/>
    <x v="0"/>
    <n v="26650"/>
    <n v="3"/>
    <n v="1"/>
    <n v="3"/>
    <n v="2"/>
    <n v="1"/>
  </r>
  <r>
    <n v="1238911072"/>
    <x v="1"/>
    <d v="1964-09-27T00:00:00"/>
    <d v="1999-12-04T00:00:00"/>
    <m/>
    <x v="11"/>
    <n v="32266"/>
    <n v="2"/>
    <n v="3"/>
    <n v="1"/>
    <n v="3"/>
    <n v="3"/>
  </r>
  <r>
    <n v="1238911073"/>
    <x v="1"/>
    <d v="1964-10-30T00:00:00"/>
    <d v="2021-09-16T00:00:00"/>
    <d v="2023-09-02T00:00:00"/>
    <x v="11"/>
    <n v="32266"/>
    <n v="3"/>
    <n v="2"/>
    <n v="3"/>
    <n v="2"/>
    <n v="2"/>
  </r>
  <r>
    <n v="1238911074"/>
    <x v="0"/>
    <d v="1964-10-09T00:00:00"/>
    <d v="1999-08-28T00:00:00"/>
    <m/>
    <x v="0"/>
    <n v="27300"/>
    <n v="1"/>
    <n v="2"/>
    <n v="1"/>
    <n v="2"/>
    <n v="2"/>
  </r>
  <r>
    <n v="1238911075"/>
    <x v="0"/>
    <d v="1964-12-04T00:00:00"/>
    <d v="2009-02-02T00:00:00"/>
    <m/>
    <x v="24"/>
    <n v="425199.77500000002"/>
    <n v="3"/>
    <n v="2"/>
    <n v="3"/>
    <n v="3"/>
    <n v="3"/>
  </r>
  <r>
    <n v="1238911076"/>
    <x v="1"/>
    <d v="1964-12-08T00:00:00"/>
    <d v="2003-10-10T00:00:00"/>
    <m/>
    <x v="0"/>
    <n v="27300"/>
    <n v="2"/>
    <n v="3"/>
    <n v="1"/>
    <n v="1"/>
    <n v="1"/>
  </r>
  <r>
    <n v="1238911077"/>
    <x v="1"/>
    <d v="1964-12-21T00:00:00"/>
    <d v="2009-07-25T00:00:00"/>
    <m/>
    <x v="0"/>
    <n v="27300"/>
    <n v="1"/>
    <n v="3"/>
    <n v="1"/>
    <n v="3"/>
    <n v="2"/>
  </r>
  <r>
    <n v="1238911078"/>
    <x v="1"/>
    <d v="1965-05-14T00:00:00"/>
    <d v="2004-01-23T00:00:00"/>
    <d v="2023-10-02T00:00:00"/>
    <x v="12"/>
    <n v="77809.224999999991"/>
    <n v="3"/>
    <n v="3"/>
    <n v="2"/>
    <n v="1"/>
    <n v="3"/>
  </r>
  <r>
    <n v="1238911079"/>
    <x v="0"/>
    <d v="1965-07-07T00:00:00"/>
    <d v="2020-01-10T00:00:00"/>
    <d v="2023-08-31T00:00:00"/>
    <x v="0"/>
    <n v="27300"/>
    <n v="3"/>
    <n v="3"/>
    <n v="3"/>
    <n v="3"/>
    <n v="1"/>
  </r>
  <r>
    <n v="1238911080"/>
    <x v="1"/>
    <d v="1965-11-30T00:00:00"/>
    <d v="2001-08-02T00:00:00"/>
    <d v="2015-05-22T00:00:00"/>
    <x v="22"/>
    <n v="59097.675000000003"/>
    <n v="1"/>
    <n v="1"/>
    <n v="3"/>
    <n v="1"/>
    <n v="2"/>
  </r>
  <r>
    <n v="1238911081"/>
    <x v="0"/>
    <d v="1965-03-31T00:00:00"/>
    <d v="1999-09-20T00:00:00"/>
    <m/>
    <x v="9"/>
    <n v="59097.675000000003"/>
    <n v="2"/>
    <n v="2"/>
    <n v="1"/>
    <n v="2"/>
    <n v="1"/>
  </r>
  <r>
    <n v="1238911082"/>
    <x v="0"/>
    <d v="1965-07-30T00:00:00"/>
    <d v="2003-04-18T00:00:00"/>
    <m/>
    <x v="0"/>
    <n v="31616"/>
    <n v="3"/>
    <n v="2"/>
    <n v="3"/>
    <n v="2"/>
    <n v="2"/>
  </r>
  <r>
    <n v="1238911083"/>
    <x v="1"/>
    <d v="1965-10-22T00:00:00"/>
    <d v="2009-12-25T00:00:00"/>
    <m/>
    <x v="0"/>
    <n v="28782"/>
    <n v="1"/>
    <n v="2"/>
    <n v="2"/>
    <n v="3"/>
    <n v="2"/>
  </r>
  <r>
    <n v="1238911084"/>
    <x v="0"/>
    <d v="1965-10-29T00:00:00"/>
    <d v="2004-05-13T00:00:00"/>
    <m/>
    <x v="25"/>
    <n v="281250"/>
    <n v="3"/>
    <n v="2"/>
    <n v="2"/>
    <n v="3"/>
    <n v="3"/>
  </r>
  <r>
    <n v="1238911085"/>
    <x v="1"/>
    <d v="1965-10-30T00:00:00"/>
    <d v="1997-12-19T00:00:00"/>
    <m/>
    <x v="0"/>
    <n v="26520"/>
    <n v="2"/>
    <n v="3"/>
    <n v="2"/>
    <n v="1"/>
    <n v="2"/>
  </r>
  <r>
    <n v="1238911086"/>
    <x v="0"/>
    <d v="1965-11-26T00:00:00"/>
    <d v="1999-07-12T00:00:00"/>
    <m/>
    <x v="0"/>
    <n v="28366"/>
    <n v="3"/>
    <n v="2"/>
    <n v="3"/>
    <n v="1"/>
    <n v="2"/>
  </r>
  <r>
    <n v="1238911087"/>
    <x v="1"/>
    <d v="1965-12-10T00:00:00"/>
    <d v="2010-07-27T00:00:00"/>
    <m/>
    <x v="0"/>
    <n v="28210"/>
    <n v="1"/>
    <n v="2"/>
    <n v="2"/>
    <n v="1"/>
    <n v="1"/>
  </r>
  <r>
    <n v="1238911088"/>
    <x v="1"/>
    <d v="1966-01-05T00:00:00"/>
    <d v="2018-08-08T00:00:00"/>
    <d v="2020-10-21T00:00:00"/>
    <x v="11"/>
    <n v="27586"/>
    <n v="3"/>
    <n v="1"/>
    <n v="2"/>
    <n v="2"/>
    <n v="2"/>
  </r>
  <r>
    <n v="1238911089"/>
    <x v="0"/>
    <d v="1966-11-30T00:00:00"/>
    <d v="2007-09-13T00:00:00"/>
    <m/>
    <x v="26"/>
    <n v="39810"/>
    <n v="2"/>
    <n v="3"/>
    <n v="1"/>
    <n v="1"/>
    <n v="3"/>
  </r>
  <r>
    <n v="1238911090"/>
    <x v="1"/>
    <d v="1966-01-27T00:00:00"/>
    <d v="2010-10-20T00:00:00"/>
    <m/>
    <x v="0"/>
    <n v="27300"/>
    <n v="2"/>
    <n v="3"/>
    <n v="1"/>
    <n v="1"/>
    <n v="3"/>
  </r>
  <r>
    <n v="1238911091"/>
    <x v="1"/>
    <d v="1966-03-09T00:00:00"/>
    <d v="2008-12-06T00:00:00"/>
    <d v="2015-03-04T00:00:00"/>
    <x v="27"/>
    <n v="30673.75"/>
    <n v="1"/>
    <n v="1"/>
    <n v="1"/>
    <n v="1"/>
    <n v="2"/>
  </r>
  <r>
    <n v="1238911092"/>
    <x v="0"/>
    <d v="1966-12-19T00:00:00"/>
    <d v="2021-04-03T00:00:00"/>
    <d v="2024-06-24T00:00:00"/>
    <x v="0"/>
    <n v="31460"/>
    <n v="3"/>
    <n v="3"/>
    <n v="3"/>
    <n v="1"/>
    <n v="1"/>
  </r>
  <r>
    <n v="1238911093"/>
    <x v="0"/>
    <d v="1966-03-20T00:00:00"/>
    <d v="2003-06-07T00:00:00"/>
    <m/>
    <x v="28"/>
    <n v="87884.5"/>
    <n v="2"/>
    <n v="2"/>
    <n v="2"/>
    <n v="2"/>
    <n v="2"/>
  </r>
  <r>
    <n v="1238911094"/>
    <x v="0"/>
    <d v="1966-03-30T00:00:00"/>
    <d v="2004-10-24T00:00:00"/>
    <m/>
    <x v="29"/>
    <n v="28392"/>
    <n v="3"/>
    <n v="1"/>
    <n v="3"/>
    <n v="3"/>
    <n v="1"/>
  </r>
  <r>
    <n v="1238911095"/>
    <x v="0"/>
    <d v="1995-06-08T00:00:00"/>
    <d v="2019-12-30T00:00:00"/>
    <m/>
    <x v="29"/>
    <n v="28392"/>
    <n v="2"/>
    <n v="3"/>
    <n v="1"/>
    <n v="3"/>
    <n v="1"/>
  </r>
  <r>
    <n v="1238911096"/>
    <x v="0"/>
    <d v="1966-04-17T00:00:00"/>
    <d v="2008-08-08T00:00:00"/>
    <m/>
    <x v="30"/>
    <n v="30053.75"/>
    <n v="1"/>
    <n v="1"/>
    <n v="2"/>
    <n v="1"/>
    <n v="2"/>
  </r>
  <r>
    <n v="1238911097"/>
    <x v="1"/>
    <d v="1966-07-10T00:00:00"/>
    <d v="2001-08-11T00:00:00"/>
    <m/>
    <x v="30"/>
    <n v="30053.75"/>
    <n v="3"/>
    <n v="2"/>
    <n v="3"/>
    <n v="1"/>
    <n v="3"/>
  </r>
  <r>
    <n v="1238911098"/>
    <x v="0"/>
    <d v="1966-04-29T00:00:00"/>
    <d v="1999-12-04T00:00:00"/>
    <m/>
    <x v="31"/>
    <n v="58318"/>
    <n v="1"/>
    <n v="2"/>
    <n v="2"/>
    <n v="1"/>
    <n v="1"/>
  </r>
  <r>
    <n v="1238911099"/>
    <x v="0"/>
    <d v="1966-11-10T00:00:00"/>
    <d v="1999-08-28T00:00:00"/>
    <m/>
    <x v="0"/>
    <n v="35516"/>
    <n v="3"/>
    <n v="3"/>
    <n v="3"/>
    <n v="1"/>
    <n v="2"/>
  </r>
  <r>
    <n v="1238911100"/>
    <x v="1"/>
    <d v="1996-05-14T00:00:00"/>
    <d v="2021-09-16T00:00:00"/>
    <m/>
    <x v="0"/>
    <n v="29926"/>
    <n v="3"/>
    <n v="3"/>
    <n v="2"/>
    <n v="2"/>
    <n v="3"/>
  </r>
  <r>
    <n v="1238911101"/>
    <x v="1"/>
    <d v="1966-08-04T00:00:00"/>
    <d v="2009-02-02T00:00:00"/>
    <m/>
    <x v="32"/>
    <n v="66352"/>
    <n v="1"/>
    <n v="3"/>
    <n v="2"/>
    <n v="3"/>
    <n v="3"/>
  </r>
  <r>
    <n v="1238911102"/>
    <x v="0"/>
    <d v="1966-06-26T00:00:00"/>
    <d v="2003-10-10T00:00:00"/>
    <m/>
    <x v="12"/>
    <n v="95625.074999999997"/>
    <n v="3"/>
    <n v="1"/>
    <n v="3"/>
    <n v="3"/>
    <n v="2"/>
  </r>
  <r>
    <n v="1238911103"/>
    <x v="1"/>
    <d v="1966-07-07T00:00:00"/>
    <d v="2009-07-25T00:00:00"/>
    <m/>
    <x v="18"/>
    <n v="27300"/>
    <n v="3"/>
    <n v="3"/>
    <n v="2"/>
    <n v="1"/>
    <n v="2"/>
  </r>
  <r>
    <n v="1238911104"/>
    <x v="1"/>
    <d v="1989-03-03T00:00:00"/>
    <d v="2017-01-03T00:00:00"/>
    <m/>
    <x v="18"/>
    <n v="27300"/>
    <n v="3"/>
    <n v="1"/>
    <n v="1"/>
    <n v="3"/>
    <n v="2"/>
  </r>
  <r>
    <n v="1238911105"/>
    <x v="0"/>
    <d v="1966-07-13T00:00:00"/>
    <d v="2006-01-04T00:00:00"/>
    <m/>
    <x v="33"/>
    <n v="38077.5"/>
    <n v="3"/>
    <n v="3"/>
    <n v="1"/>
    <n v="3"/>
    <n v="1"/>
  </r>
  <r>
    <n v="1238911106"/>
    <x v="0"/>
    <d v="1963-05-31T00:00:00"/>
    <d v="1999-05-14T00:00:00"/>
    <d v="2022-08-24T00:00:00"/>
    <x v="33"/>
    <n v="38077.5"/>
    <n v="1"/>
    <n v="2"/>
    <n v="1"/>
    <n v="2"/>
    <n v="3"/>
  </r>
  <r>
    <n v="1238911107"/>
    <x v="0"/>
    <d v="1966-08-03T00:00:00"/>
    <d v="2004-01-23T00:00:00"/>
    <m/>
    <x v="34"/>
    <n v="61872.5"/>
    <n v="2"/>
    <n v="3"/>
    <n v="1"/>
    <n v="1"/>
    <n v="3"/>
  </r>
  <r>
    <n v="1238911108"/>
    <x v="0"/>
    <d v="1966-08-18T00:00:00"/>
    <d v="2000-01-10T00:00:00"/>
    <m/>
    <x v="0"/>
    <n v="31564"/>
    <n v="3"/>
    <n v="3"/>
    <n v="2"/>
    <n v="1"/>
    <n v="1"/>
  </r>
  <r>
    <n v="1238911109"/>
    <x v="1"/>
    <d v="1966-11-09T00:00:00"/>
    <d v="2001-08-02T00:00:00"/>
    <m/>
    <x v="0"/>
    <n v="30212"/>
    <n v="3"/>
    <n v="1"/>
    <n v="1"/>
    <n v="2"/>
    <n v="1"/>
  </r>
  <r>
    <n v="1238911110"/>
    <x v="0"/>
    <d v="1967-01-18T00:00:00"/>
    <d v="1999-09-20T00:00:00"/>
    <m/>
    <x v="0"/>
    <n v="30654"/>
    <n v="1"/>
    <n v="3"/>
    <n v="1"/>
    <n v="3"/>
    <n v="2"/>
  </r>
  <r>
    <n v="1238911111"/>
    <x v="0"/>
    <d v="1967-02-08T00:00:00"/>
    <d v="2003-04-18T00:00:00"/>
    <m/>
    <x v="11"/>
    <n v="27664"/>
    <n v="2"/>
    <n v="1"/>
    <n v="3"/>
    <n v="2"/>
    <n v="3"/>
  </r>
  <r>
    <n v="1238911112"/>
    <x v="0"/>
    <d v="1967-05-19T00:00:00"/>
    <d v="2009-12-25T00:00:00"/>
    <m/>
    <x v="35"/>
    <n v="31200"/>
    <n v="2"/>
    <n v="3"/>
    <n v="3"/>
    <n v="2"/>
    <n v="2"/>
  </r>
  <r>
    <n v="1238911113"/>
    <x v="1"/>
    <d v="1967-03-19T00:00:00"/>
    <d v="1997-12-19T00:00:00"/>
    <m/>
    <x v="11"/>
    <n v="27768"/>
    <n v="1"/>
    <n v="2"/>
    <n v="1"/>
    <n v="1"/>
    <n v="1"/>
  </r>
  <r>
    <n v="1238911114"/>
    <x v="1"/>
    <d v="1967-06-05T00:00:00"/>
    <d v="1999-07-12T00:00:00"/>
    <m/>
    <x v="0"/>
    <n v="26000"/>
    <n v="1"/>
    <n v="2"/>
    <n v="1"/>
    <n v="2"/>
    <n v="1"/>
  </r>
  <r>
    <n v="1238911115"/>
    <x v="1"/>
    <d v="1967-06-27T00:00:00"/>
    <d v="2010-07-27T00:00:00"/>
    <m/>
    <x v="36"/>
    <n v="66969.174999999988"/>
    <n v="3"/>
    <n v="1"/>
    <n v="3"/>
    <n v="2"/>
    <n v="2"/>
  </r>
  <r>
    <n v="1238911116"/>
    <x v="1"/>
    <d v="1998-09-07T00:00:00"/>
    <d v="2019-11-11T00:00:00"/>
    <m/>
    <x v="37"/>
    <n v="39431.25"/>
    <n v="3"/>
    <n v="3"/>
    <n v="1"/>
    <n v="2"/>
    <n v="2"/>
  </r>
  <r>
    <n v="1238911117"/>
    <x v="0"/>
    <d v="1967-07-18T00:00:00"/>
    <d v="2002-08-08T00:00:00"/>
    <m/>
    <x v="38"/>
    <n v="136630"/>
    <n v="3"/>
    <n v="2"/>
    <n v="2"/>
    <n v="3"/>
    <n v="3"/>
  </r>
  <r>
    <n v="1238911118"/>
    <x v="1"/>
    <d v="1967-09-24T00:00:00"/>
    <d v="2007-09-13T00:00:00"/>
    <m/>
    <x v="39"/>
    <n v="190526.05"/>
    <n v="2"/>
    <n v="2"/>
    <n v="3"/>
    <n v="2"/>
    <n v="2"/>
  </r>
  <r>
    <n v="1238911119"/>
    <x v="1"/>
    <d v="1967-08-20T00:00:00"/>
    <d v="2010-10-20T00:00:00"/>
    <m/>
    <x v="0"/>
    <n v="27404"/>
    <n v="3"/>
    <n v="3"/>
    <n v="1"/>
    <n v="3"/>
    <n v="3"/>
  </r>
  <r>
    <n v="1238911120"/>
    <x v="0"/>
    <d v="1967-09-17T00:00:00"/>
    <d v="2008-12-06T00:00:00"/>
    <m/>
    <x v="0"/>
    <n v="29822"/>
    <n v="3"/>
    <n v="2"/>
    <n v="3"/>
    <n v="3"/>
    <n v="1"/>
  </r>
  <r>
    <n v="1238911121"/>
    <x v="0"/>
    <d v="1967-09-24T00:00:00"/>
    <d v="2009-04-03T00:00:00"/>
    <d v="2023-02-08T00:00:00"/>
    <x v="35"/>
    <n v="28862.5"/>
    <n v="2"/>
    <n v="3"/>
    <n v="1"/>
    <n v="1"/>
    <n v="3"/>
  </r>
  <r>
    <n v="1238911122"/>
    <x v="0"/>
    <d v="1967-11-02T00:00:00"/>
    <d v="2003-06-07T00:00:00"/>
    <m/>
    <x v="40"/>
    <n v="137500"/>
    <n v="3"/>
    <n v="3"/>
    <n v="2"/>
    <n v="3"/>
    <n v="2"/>
  </r>
  <r>
    <n v="1238911123"/>
    <x v="1"/>
    <d v="1968-02-16T00:00:00"/>
    <d v="2004-10-24T00:00:00"/>
    <m/>
    <x v="30"/>
    <n v="34840"/>
    <n v="3"/>
    <n v="2"/>
    <n v="2"/>
    <n v="2"/>
    <n v="3"/>
  </r>
  <r>
    <n v="1238911124"/>
    <x v="1"/>
    <d v="1968-02-22T00:00:00"/>
    <d v="2006-12-30T00:00:00"/>
    <m/>
    <x v="11"/>
    <n v="27300"/>
    <n v="2"/>
    <n v="2"/>
    <n v="2"/>
    <n v="3"/>
    <n v="1"/>
  </r>
  <r>
    <n v="1238911125"/>
    <x v="1"/>
    <d v="1968-03-23T00:00:00"/>
    <d v="2022-08-09T00:00:00"/>
    <d v="2025-08-15T00:00:00"/>
    <x v="0"/>
    <n v="27300"/>
    <n v="3"/>
    <n v="3"/>
    <n v="3"/>
    <n v="2"/>
    <n v="3"/>
  </r>
  <r>
    <n v="1238911126"/>
    <x v="0"/>
    <d v="1968-03-30T00:00:00"/>
    <d v="2001-08-11T00:00:00"/>
    <m/>
    <x v="41"/>
    <n v="78693.75"/>
    <n v="3"/>
    <n v="2"/>
    <n v="2"/>
    <n v="2"/>
    <n v="2"/>
  </r>
  <r>
    <n v="1238911127"/>
    <x v="1"/>
    <d v="1968-05-06T00:00:00"/>
    <d v="1999-12-04T00:00:00"/>
    <m/>
    <x v="42"/>
    <n v="174453.17500000002"/>
    <n v="2"/>
    <n v="2"/>
    <n v="2"/>
    <n v="3"/>
    <n v="3"/>
  </r>
  <r>
    <n v="1238911128"/>
    <x v="0"/>
    <d v="1968-06-29T00:00:00"/>
    <d v="1999-08-28T00:00:00"/>
    <m/>
    <x v="43"/>
    <n v="92738.75"/>
    <n v="1"/>
    <n v="1"/>
    <n v="3"/>
    <n v="3"/>
    <n v="1"/>
  </r>
  <r>
    <n v="1238911129"/>
    <x v="1"/>
    <d v="1968-07-11T00:00:00"/>
    <d v="2006-09-16T00:00:00"/>
    <d v="2020-10-28T00:00:00"/>
    <x v="44"/>
    <n v="34476"/>
    <n v="3"/>
    <n v="2"/>
    <n v="2"/>
    <n v="3"/>
    <n v="3"/>
  </r>
  <r>
    <n v="1238911130"/>
    <x v="1"/>
    <d v="1968-11-12T00:00:00"/>
    <d v="2009-02-02T00:00:00"/>
    <m/>
    <x v="0"/>
    <n v="27612"/>
    <n v="2"/>
    <n v="3"/>
    <n v="3"/>
    <n v="3"/>
    <n v="3"/>
  </r>
  <r>
    <n v="1238911131"/>
    <x v="1"/>
    <d v="1968-12-17T00:00:00"/>
    <d v="2003-10-10T00:00:00"/>
    <m/>
    <x v="0"/>
    <n v="31668"/>
    <n v="2"/>
    <n v="3"/>
    <n v="2"/>
    <n v="3"/>
    <n v="1"/>
  </r>
  <r>
    <n v="1238911132"/>
    <x v="1"/>
    <d v="1969-03-03T00:00:00"/>
    <d v="2009-07-25T00:00:00"/>
    <m/>
    <x v="34"/>
    <n v="68271.450000000012"/>
    <n v="2"/>
    <n v="3"/>
    <n v="1"/>
    <n v="2"/>
    <n v="2"/>
  </r>
  <r>
    <n v="1238911133"/>
    <x v="1"/>
    <d v="1969-03-26T00:00:00"/>
    <d v="2006-01-04T00:00:00"/>
    <m/>
    <x v="30"/>
    <n v="31200"/>
    <n v="3"/>
    <n v="1"/>
    <n v="1"/>
    <n v="3"/>
    <n v="1"/>
  </r>
  <r>
    <n v="1238911134"/>
    <x v="1"/>
    <d v="1969-04-08T00:00:00"/>
    <d v="2004-01-23T00:00:00"/>
    <m/>
    <x v="0"/>
    <n v="27066.25"/>
    <n v="2"/>
    <n v="1"/>
    <n v="2"/>
    <n v="2"/>
    <n v="2"/>
  </r>
  <r>
    <n v="1238911135"/>
    <x v="0"/>
    <d v="1969-04-29T00:00:00"/>
    <d v="2020-01-10T00:00:00"/>
    <d v="2022-11-23T00:00:00"/>
    <x v="45"/>
    <n v="58445"/>
    <n v="2"/>
    <n v="1"/>
    <n v="3"/>
    <n v="1"/>
    <n v="1"/>
  </r>
  <r>
    <n v="1238911136"/>
    <x v="0"/>
    <d v="1969-10-11T00:00:00"/>
    <d v="2001-08-02T00:00:00"/>
    <m/>
    <x v="45"/>
    <n v="58445"/>
    <n v="2"/>
    <n v="3"/>
    <n v="1"/>
    <n v="3"/>
    <n v="3"/>
  </r>
  <r>
    <n v="1238911137"/>
    <x v="0"/>
    <d v="1969-05-03T00:00:00"/>
    <d v="1999-09-20T00:00:00"/>
    <m/>
    <x v="0"/>
    <n v="31200"/>
    <n v="3"/>
    <n v="1"/>
    <n v="2"/>
    <n v="1"/>
    <n v="2"/>
  </r>
  <r>
    <n v="1238911138"/>
    <x v="0"/>
    <d v="1969-05-26T00:00:00"/>
    <d v="2003-04-18T00:00:00"/>
    <m/>
    <x v="0"/>
    <n v="27300"/>
    <n v="2"/>
    <n v="2"/>
    <n v="1"/>
    <n v="3"/>
    <n v="2"/>
  </r>
  <r>
    <n v="1238911139"/>
    <x v="1"/>
    <d v="1969-06-08T00:00:00"/>
    <d v="2009-12-25T00:00:00"/>
    <m/>
    <x v="0"/>
    <n v="27300"/>
    <n v="3"/>
    <n v="1"/>
    <n v="3"/>
    <n v="1"/>
    <n v="2"/>
  </r>
  <r>
    <n v="1238911140"/>
    <x v="0"/>
    <d v="1969-02-13T00:00:00"/>
    <d v="1999-05-14T00:00:00"/>
    <m/>
    <x v="46"/>
    <n v="126250.15"/>
    <n v="3"/>
    <n v="3"/>
    <n v="2"/>
    <n v="3"/>
    <n v="2"/>
  </r>
  <r>
    <n v="1238911141"/>
    <x v="0"/>
    <d v="1969-06-28T00:00:00"/>
    <d v="1997-12-19T00:00:00"/>
    <m/>
    <x v="31"/>
    <n v="55224"/>
    <n v="3"/>
    <n v="1"/>
    <n v="3"/>
    <n v="2"/>
    <n v="3"/>
  </r>
  <r>
    <n v="1238911142"/>
    <x v="1"/>
    <d v="1965-07-15T00:00:00"/>
    <d v="2019-07-13T00:00:00"/>
    <d v="2022-05-13T00:00:00"/>
    <x v="0"/>
    <n v="30550"/>
    <n v="1"/>
    <n v="1"/>
    <n v="3"/>
    <n v="1"/>
    <n v="1"/>
  </r>
  <r>
    <n v="1238911143"/>
    <x v="0"/>
    <d v="1969-07-31T00:00:00"/>
    <d v="2010-07-27T00:00:00"/>
    <m/>
    <x v="0"/>
    <n v="27404"/>
    <n v="1"/>
    <n v="2"/>
    <n v="1"/>
    <n v="1"/>
    <n v="3"/>
  </r>
  <r>
    <n v="1238911144"/>
    <x v="0"/>
    <d v="1969-09-13T00:00:00"/>
    <d v="2002-08-08T00:00:00"/>
    <m/>
    <x v="29"/>
    <n v="31200"/>
    <n v="1"/>
    <n v="1"/>
    <n v="1"/>
    <n v="1"/>
    <n v="2"/>
  </r>
  <r>
    <n v="1238911145"/>
    <x v="0"/>
    <d v="1969-09-22T00:00:00"/>
    <d v="2007-09-13T00:00:00"/>
    <m/>
    <x v="46"/>
    <n v="111084.34999999999"/>
    <n v="3"/>
    <n v="3"/>
    <n v="2"/>
    <n v="2"/>
    <n v="2"/>
  </r>
  <r>
    <n v="1238911146"/>
    <x v="1"/>
    <d v="1970-01-05T00:00:00"/>
    <d v="2010-10-20T00:00:00"/>
    <m/>
    <x v="11"/>
    <n v="29198"/>
    <n v="3"/>
    <n v="2"/>
    <n v="1"/>
    <n v="2"/>
    <n v="1"/>
  </r>
  <r>
    <n v="1238911147"/>
    <x v="1"/>
    <d v="1970-03-16T00:00:00"/>
    <d v="2008-12-06T00:00:00"/>
    <m/>
    <x v="11"/>
    <n v="28080"/>
    <n v="3"/>
    <n v="3"/>
    <n v="2"/>
    <n v="3"/>
    <n v="2"/>
  </r>
  <r>
    <n v="1238911148"/>
    <x v="1"/>
    <d v="1970-03-19T00:00:00"/>
    <d v="2009-04-03T00:00:00"/>
    <m/>
    <x v="47"/>
    <n v="27686.25"/>
    <n v="2"/>
    <n v="2"/>
    <n v="3"/>
    <n v="1"/>
    <n v="3"/>
  </r>
  <r>
    <n v="1238911149"/>
    <x v="1"/>
    <d v="1970-04-03T00:00:00"/>
    <d v="2003-06-07T00:00:00"/>
    <m/>
    <x v="30"/>
    <n v="30108"/>
    <n v="1"/>
    <n v="2"/>
    <n v="2"/>
    <n v="2"/>
    <n v="2"/>
  </r>
  <r>
    <n v="1238911150"/>
    <x v="1"/>
    <d v="1970-11-13T00:00:00"/>
    <d v="2004-10-24T00:00:00"/>
    <m/>
    <x v="30"/>
    <n v="30108"/>
    <n v="3"/>
    <n v="2"/>
    <n v="2"/>
    <n v="1"/>
    <n v="1"/>
  </r>
  <r>
    <n v="1238911151"/>
    <x v="0"/>
    <d v="1970-05-12T00:00:00"/>
    <d v="2006-12-30T00:00:00"/>
    <m/>
    <x v="48"/>
    <n v="32668.75"/>
    <n v="1"/>
    <n v="1"/>
    <n v="1"/>
    <n v="2"/>
    <n v="1"/>
  </r>
  <r>
    <n v="1238911152"/>
    <x v="1"/>
    <d v="1970-05-29T00:00:00"/>
    <d v="2008-08-08T00:00:00"/>
    <m/>
    <x v="30"/>
    <n v="31174"/>
    <n v="3"/>
    <n v="1"/>
    <n v="1"/>
    <n v="2"/>
    <n v="1"/>
  </r>
  <r>
    <n v="1238911153"/>
    <x v="0"/>
    <d v="1979-06-28T00:00:00"/>
    <d v="2024-08-10T00:00:00"/>
    <d v="2025-02-22T00:00:00"/>
    <x v="49"/>
    <n v="95839.25"/>
    <n v="3"/>
    <n v="3"/>
    <n v="3"/>
    <n v="2"/>
    <n v="3"/>
  </r>
  <r>
    <n v="1238911154"/>
    <x v="1"/>
    <d v="1970-07-23T00:00:00"/>
    <d v="2004-12-03T00:00:00"/>
    <m/>
    <x v="50"/>
    <n v="225205.17500000002"/>
    <n v="2"/>
    <n v="2"/>
    <n v="2"/>
    <n v="2"/>
    <n v="3"/>
  </r>
  <r>
    <n v="1238911155"/>
    <x v="1"/>
    <d v="1970-08-20T00:00:00"/>
    <d v="1999-08-28T00:00:00"/>
    <m/>
    <x v="51"/>
    <n v="36400"/>
    <n v="2"/>
    <n v="3"/>
    <n v="2"/>
    <n v="3"/>
    <n v="2"/>
  </r>
  <r>
    <n v="1238911156"/>
    <x v="0"/>
    <d v="1970-08-31T00:00:00"/>
    <d v="2006-09-16T00:00:00"/>
    <m/>
    <x v="0"/>
    <n v="27300"/>
    <n v="2"/>
    <n v="1"/>
    <n v="2"/>
    <n v="3"/>
    <n v="1"/>
  </r>
  <r>
    <n v="1238911157"/>
    <x v="1"/>
    <d v="1970-07-29T00:00:00"/>
    <d v="2009-02-02T00:00:00"/>
    <m/>
    <x v="0"/>
    <n v="27872"/>
    <n v="3"/>
    <n v="1"/>
    <n v="2"/>
    <n v="3"/>
    <n v="1"/>
  </r>
  <r>
    <n v="1238911158"/>
    <x v="0"/>
    <d v="1970-09-28T00:00:00"/>
    <d v="2003-10-10T00:00:00"/>
    <m/>
    <x v="52"/>
    <n v="117412.425"/>
    <n v="2"/>
    <n v="2"/>
    <n v="2"/>
    <n v="3"/>
    <n v="2"/>
  </r>
  <r>
    <n v="1238911159"/>
    <x v="0"/>
    <d v="1970-11-03T00:00:00"/>
    <d v="2009-07-25T00:00:00"/>
    <m/>
    <x v="0"/>
    <n v="31200"/>
    <n v="3"/>
    <n v="3"/>
    <n v="3"/>
    <n v="2"/>
    <n v="1"/>
  </r>
  <r>
    <n v="1238911160"/>
    <x v="0"/>
    <d v="1970-12-13T00:00:00"/>
    <d v="2014-01-04T00:00:00"/>
    <d v="2021-08-23T00:00:00"/>
    <x v="53"/>
    <n v="93253.75"/>
    <n v="2"/>
    <n v="1"/>
    <n v="2"/>
    <n v="3"/>
    <n v="2"/>
  </r>
  <r>
    <n v="1238911161"/>
    <x v="1"/>
    <d v="1970-01-30T00:00:00"/>
    <d v="2004-01-23T00:00:00"/>
    <m/>
    <x v="11"/>
    <n v="29996.25"/>
    <n v="2"/>
    <n v="2"/>
    <n v="3"/>
    <n v="2"/>
    <n v="3"/>
  </r>
  <r>
    <n v="1238911162"/>
    <x v="1"/>
    <d v="1970-12-16T00:00:00"/>
    <d v="2000-01-10T00:00:00"/>
    <m/>
    <x v="11"/>
    <n v="29996.25"/>
    <n v="2"/>
    <n v="3"/>
    <n v="2"/>
    <n v="1"/>
    <n v="1"/>
  </r>
  <r>
    <n v="1238911163"/>
    <x v="0"/>
    <d v="1971-04-08T00:00:00"/>
    <d v="2001-08-02T00:00:00"/>
    <m/>
    <x v="54"/>
    <n v="62500"/>
    <n v="1"/>
    <n v="2"/>
    <n v="3"/>
    <n v="3"/>
    <n v="1"/>
  </r>
  <r>
    <n v="1238911164"/>
    <x v="0"/>
    <d v="1971-05-10T00:00:00"/>
    <d v="1999-09-20T00:00:00"/>
    <m/>
    <x v="55"/>
    <n v="167968.77499999999"/>
    <n v="2"/>
    <n v="2"/>
    <n v="3"/>
    <n v="3"/>
    <n v="2"/>
  </r>
  <r>
    <n v="1238911165"/>
    <x v="0"/>
    <d v="1971-07-17T00:00:00"/>
    <d v="2003-04-18T00:00:00"/>
    <m/>
    <x v="5"/>
    <n v="63787.75"/>
    <n v="2"/>
    <n v="1"/>
    <n v="2"/>
    <n v="2"/>
    <n v="2"/>
  </r>
  <r>
    <n v="1238911166"/>
    <x v="0"/>
    <d v="1971-07-30T00:00:00"/>
    <d v="2009-12-25T00:00:00"/>
    <m/>
    <x v="5"/>
    <n v="63787.75"/>
    <n v="3"/>
    <n v="1"/>
    <n v="3"/>
    <n v="2"/>
    <n v="3"/>
  </r>
  <r>
    <n v="1238911167"/>
    <x v="1"/>
    <d v="1971-08-10T00:00:00"/>
    <d v="1999-05-14T00:00:00"/>
    <m/>
    <x v="0"/>
    <n v="27300"/>
    <n v="1"/>
    <n v="2"/>
    <n v="3"/>
    <n v="1"/>
    <n v="1"/>
  </r>
  <r>
    <n v="1238911168"/>
    <x v="0"/>
    <d v="1972-03-05T00:00:00"/>
    <d v="1997-12-19T00:00:00"/>
    <m/>
    <x v="9"/>
    <n v="68750"/>
    <n v="2"/>
    <n v="1"/>
    <n v="1"/>
    <n v="1"/>
    <n v="3"/>
  </r>
  <r>
    <n v="1238911169"/>
    <x v="1"/>
    <d v="1972-03-18T00:00:00"/>
    <d v="1999-07-12T00:00:00"/>
    <m/>
    <x v="11"/>
    <n v="27300"/>
    <n v="1"/>
    <n v="2"/>
    <n v="3"/>
    <n v="2"/>
    <n v="3"/>
  </r>
  <r>
    <n v="1238911170"/>
    <x v="0"/>
    <d v="1972-03-25T00:00:00"/>
    <d v="2010-07-27T00:00:00"/>
    <m/>
    <x v="56"/>
    <n v="111101.25"/>
    <n v="3"/>
    <n v="2"/>
    <n v="3"/>
    <n v="3"/>
    <n v="2"/>
  </r>
  <r>
    <n v="1238911171"/>
    <x v="0"/>
    <d v="1972-05-05T00:00:00"/>
    <d v="2002-08-08T00:00:00"/>
    <m/>
    <x v="57"/>
    <n v="113705.7"/>
    <n v="3"/>
    <n v="2"/>
    <n v="2"/>
    <n v="2"/>
    <n v="3"/>
  </r>
  <r>
    <n v="1238911172"/>
    <x v="0"/>
    <d v="1972-05-31T00:00:00"/>
    <d v="2007-09-13T00:00:00"/>
    <m/>
    <x v="58"/>
    <n v="71150.625"/>
    <n v="2"/>
    <n v="2"/>
    <n v="2"/>
    <n v="2"/>
    <n v="2"/>
  </r>
  <r>
    <n v="1238911173"/>
    <x v="0"/>
    <d v="1972-10-12T00:00:00"/>
    <d v="2010-10-20T00:00:00"/>
    <m/>
    <x v="30"/>
    <n v="41638.75"/>
    <n v="3"/>
    <n v="2"/>
    <n v="1"/>
    <n v="2"/>
    <n v="3"/>
  </r>
  <r>
    <n v="1238911174"/>
    <x v="0"/>
    <d v="1972-04-20T00:00:00"/>
    <d v="2008-12-06T00:00:00"/>
    <m/>
    <x v="30"/>
    <n v="41638.75"/>
    <n v="3"/>
    <n v="2"/>
    <n v="2"/>
    <n v="1"/>
    <n v="3"/>
  </r>
  <r>
    <n v="1238911175"/>
    <x v="1"/>
    <d v="1972-06-12T00:00:00"/>
    <d v="2009-04-03T00:00:00"/>
    <m/>
    <x v="0"/>
    <n v="27820"/>
    <n v="1"/>
    <n v="1"/>
    <n v="2"/>
    <n v="3"/>
    <n v="3"/>
  </r>
  <r>
    <n v="1238911176"/>
    <x v="1"/>
    <d v="1972-06-23T00:00:00"/>
    <d v="2003-06-07T00:00:00"/>
    <m/>
    <x v="0"/>
    <n v="27820"/>
    <n v="3"/>
    <n v="2"/>
    <n v="1"/>
    <n v="2"/>
    <n v="1"/>
  </r>
  <r>
    <n v="1238911177"/>
    <x v="0"/>
    <d v="1972-07-24T00:00:00"/>
    <d v="1998-07-17T00:00:00"/>
    <m/>
    <x v="59"/>
    <n v="54642.25"/>
    <n v="1"/>
    <n v="1"/>
    <n v="1"/>
    <n v="3"/>
    <n v="2"/>
  </r>
  <r>
    <n v="1238911178"/>
    <x v="1"/>
    <d v="1989-07-28T00:00:00"/>
    <d v="2024-02-12T00:00:00"/>
    <d v="2025-08-20T00:00:00"/>
    <x v="60"/>
    <n v="49997.5"/>
    <n v="2"/>
    <n v="3"/>
    <n v="3"/>
    <n v="1"/>
    <n v="1"/>
  </r>
  <r>
    <n v="1238911179"/>
    <x v="0"/>
    <d v="1972-09-09T00:00:00"/>
    <d v="2003-08-21T00:00:00"/>
    <m/>
    <x v="29"/>
    <n v="33020"/>
    <n v="2"/>
    <n v="3"/>
    <n v="1"/>
    <n v="2"/>
    <n v="3"/>
  </r>
  <r>
    <n v="1238911180"/>
    <x v="0"/>
    <d v="1972-10-24T00:00:00"/>
    <d v="2009-06-10T00:00:00"/>
    <m/>
    <x v="61"/>
    <n v="61672"/>
    <n v="2"/>
    <n v="3"/>
    <n v="2"/>
    <n v="2"/>
    <n v="2"/>
  </r>
  <r>
    <n v="1238911181"/>
    <x v="0"/>
    <d v="1973-01-30T00:00:00"/>
    <d v="1997-05-04T00:00:00"/>
    <m/>
    <x v="62"/>
    <n v="137812.35"/>
    <n v="2"/>
    <n v="3"/>
    <n v="2"/>
    <n v="3"/>
    <n v="2"/>
  </r>
  <r>
    <n v="1238911182"/>
    <x v="0"/>
    <d v="1969-02-22T00:00:00"/>
    <d v="2005-11-22T00:00:00"/>
    <d v="2022-06-11T00:00:00"/>
    <x v="48"/>
    <n v="39390"/>
    <n v="1"/>
    <n v="2"/>
    <n v="1"/>
    <n v="1"/>
    <n v="3"/>
  </r>
  <r>
    <n v="1238911183"/>
    <x v="0"/>
    <d v="1973-11-30T00:00:00"/>
    <d v="2004-06-11T00:00:00"/>
    <m/>
    <x v="63"/>
    <n v="39390"/>
    <n v="1"/>
    <n v="2"/>
    <n v="3"/>
    <n v="2"/>
    <n v="1"/>
  </r>
  <r>
    <n v="1238911184"/>
    <x v="0"/>
    <d v="1973-03-03T00:00:00"/>
    <d v="2002-06-10T00:00:00"/>
    <m/>
    <x v="64"/>
    <n v="84150"/>
    <n v="2"/>
    <n v="1"/>
    <n v="2"/>
    <n v="2"/>
    <n v="3"/>
  </r>
  <r>
    <n v="1238911185"/>
    <x v="0"/>
    <d v="1973-07-25T00:00:00"/>
    <d v="2015-06-23T00:00:00"/>
    <d v="2016-09-30T00:00:00"/>
    <x v="11"/>
    <n v="29354"/>
    <n v="3"/>
    <n v="2"/>
    <n v="2"/>
    <n v="2"/>
    <n v="2"/>
  </r>
  <r>
    <n v="1238911186"/>
    <x v="0"/>
    <d v="1973-08-13T00:00:00"/>
    <d v="2004-12-14T00:00:00"/>
    <m/>
    <x v="65"/>
    <n v="246281.25"/>
    <n v="3"/>
    <n v="2"/>
    <n v="3"/>
    <n v="3"/>
    <n v="2"/>
  </r>
  <r>
    <n v="1238911187"/>
    <x v="1"/>
    <d v="1973-03-26T00:00:00"/>
    <d v="2009-01-02T00:00:00"/>
    <m/>
    <x v="0"/>
    <n v="28106"/>
    <n v="2"/>
    <n v="2"/>
    <n v="3"/>
    <n v="2"/>
    <n v="1"/>
  </r>
  <r>
    <n v="1238911188"/>
    <x v="1"/>
    <d v="1973-08-22T00:00:00"/>
    <d v="2009-03-22T00:00:00"/>
    <m/>
    <x v="0"/>
    <n v="29224"/>
    <n v="3"/>
    <n v="2"/>
    <n v="1"/>
    <n v="1"/>
    <n v="1"/>
  </r>
  <r>
    <n v="1238911189"/>
    <x v="1"/>
    <d v="1973-08-25T00:00:00"/>
    <d v="2010-08-11T00:00:00"/>
    <m/>
    <x v="0"/>
    <n v="27300"/>
    <n v="1"/>
    <n v="1"/>
    <n v="3"/>
    <n v="3"/>
    <n v="2"/>
  </r>
  <r>
    <n v="1238911190"/>
    <x v="1"/>
    <d v="1973-08-31T00:00:00"/>
    <d v="2018-12-28T00:00:00"/>
    <d v="2020-03-11T00:00:00"/>
    <x v="66"/>
    <n v="41465"/>
    <n v="1"/>
    <n v="1"/>
    <n v="3"/>
    <n v="3"/>
    <n v="3"/>
  </r>
  <r>
    <n v="1238911191"/>
    <x v="1"/>
    <d v="1973-12-16T00:00:00"/>
    <d v="2002-10-18T00:00:00"/>
    <m/>
    <x v="30"/>
    <n v="28600"/>
    <n v="2"/>
    <n v="2"/>
    <n v="1"/>
    <n v="2"/>
    <n v="3"/>
  </r>
  <r>
    <n v="1238911192"/>
    <x v="0"/>
    <d v="1973-12-26T00:00:00"/>
    <d v="1998-07-17T00:00:00"/>
    <m/>
    <x v="67"/>
    <n v="44200"/>
    <n v="2"/>
    <n v="2"/>
    <n v="1"/>
    <n v="3"/>
    <n v="3"/>
  </r>
  <r>
    <n v="1238911193"/>
    <x v="1"/>
    <d v="1974-01-26T00:00:00"/>
    <d v="2001-02-11T00:00:00"/>
    <m/>
    <x v="11"/>
    <n v="27586"/>
    <n v="1"/>
    <n v="3"/>
    <n v="2"/>
    <n v="3"/>
    <n v="3"/>
  </r>
  <r>
    <n v="1238911194"/>
    <x v="0"/>
    <d v="1974-04-04T00:00:00"/>
    <d v="2003-08-21T00:00:00"/>
    <m/>
    <x v="68"/>
    <n v="132562.625"/>
    <n v="3"/>
    <n v="2"/>
    <n v="3"/>
    <n v="2"/>
    <n v="2"/>
  </r>
  <r>
    <n v="1238911195"/>
    <x v="0"/>
    <d v="1974-07-11T00:00:00"/>
    <d v="2009-06-10T00:00:00"/>
    <m/>
    <x v="29"/>
    <n v="31590"/>
    <n v="2"/>
    <n v="2"/>
    <n v="1"/>
    <n v="3"/>
    <n v="2"/>
  </r>
  <r>
    <n v="1238911196"/>
    <x v="0"/>
    <d v="1974-08-31T00:00:00"/>
    <d v="2021-05-04T00:00:00"/>
    <d v="2023-04-28T00:00:00"/>
    <x v="69"/>
    <n v="102756.22499999999"/>
    <n v="2"/>
    <n v="2"/>
    <n v="2"/>
    <n v="2"/>
    <n v="2"/>
  </r>
  <r>
    <n v="1238911197"/>
    <x v="0"/>
    <d v="1974-09-03T00:00:00"/>
    <d v="1997-11-21T00:00:00"/>
    <m/>
    <x v="0"/>
    <n v="30472"/>
    <n v="1"/>
    <n v="1"/>
    <n v="1"/>
    <n v="3"/>
    <n v="1"/>
  </r>
  <r>
    <n v="1238911198"/>
    <x v="1"/>
    <d v="1974-12-21T00:00:00"/>
    <d v="2004-06-11T00:00:00"/>
    <m/>
    <x v="18"/>
    <n v="34814"/>
    <n v="1"/>
    <n v="3"/>
    <n v="1"/>
    <n v="1"/>
    <n v="1"/>
  </r>
  <r>
    <n v="1238911199"/>
    <x v="1"/>
    <d v="1974-12-21T00:00:00"/>
    <d v="2002-06-10T00:00:00"/>
    <m/>
    <x v="18"/>
    <n v="34814"/>
    <n v="2"/>
    <n v="2"/>
    <n v="1"/>
    <n v="1"/>
    <n v="2"/>
  </r>
  <r>
    <n v="1238911200"/>
    <x v="0"/>
    <d v="1974-12-24T00:00:00"/>
    <d v="2001-06-23T00:00:00"/>
    <m/>
    <x v="0"/>
    <n v="26624"/>
    <n v="2"/>
    <n v="2"/>
    <n v="2"/>
    <n v="1"/>
    <n v="2"/>
  </r>
  <r>
    <n v="1238911201"/>
    <x v="1"/>
    <d v="1974-12-25T00:00:00"/>
    <d v="2022-12-15T00:00:00"/>
    <d v="2025-05-09T00:00:00"/>
    <x v="30"/>
    <n v="31200"/>
    <n v="3"/>
    <n v="1"/>
    <n v="2"/>
    <n v="1"/>
    <n v="3"/>
  </r>
  <r>
    <n v="1238911202"/>
    <x v="0"/>
    <d v="1971-03-29T00:00:00"/>
    <d v="2020-01-04T00:00:00"/>
    <d v="2022-10-28T00:00:00"/>
    <x v="70"/>
    <n v="34138"/>
    <n v="1"/>
    <n v="2"/>
    <n v="1"/>
    <n v="3"/>
    <n v="3"/>
  </r>
  <r>
    <n v="1238911203"/>
    <x v="0"/>
    <d v="1975-06-03T00:00:00"/>
    <d v="2009-03-22T00:00:00"/>
    <m/>
    <x v="71"/>
    <n v="79330"/>
    <n v="2"/>
    <n v="1"/>
    <n v="1"/>
    <n v="2"/>
    <n v="3"/>
  </r>
  <r>
    <n v="1238911204"/>
    <x v="0"/>
    <d v="1979-02-10T00:00:00"/>
    <d v="2020-06-24T00:00:00"/>
    <d v="2022-01-04T00:00:00"/>
    <x v="71"/>
    <n v="79330"/>
    <n v="2"/>
    <n v="3"/>
    <n v="3"/>
    <n v="1"/>
    <n v="2"/>
  </r>
  <r>
    <n v="1238911205"/>
    <x v="0"/>
    <d v="1975-06-09T00:00:00"/>
    <d v="2010-08-11T00:00:00"/>
    <m/>
    <x v="22"/>
    <n v="61381.450000000004"/>
    <n v="1"/>
    <n v="3"/>
    <n v="1"/>
    <n v="2"/>
    <n v="3"/>
  </r>
  <r>
    <n v="1238911206"/>
    <x v="1"/>
    <d v="1975-06-30T00:00:00"/>
    <d v="2021-12-28T00:00:00"/>
    <d v="2024-07-24T00:00:00"/>
    <x v="60"/>
    <n v="50000"/>
    <n v="1"/>
    <n v="2"/>
    <n v="1"/>
    <n v="2"/>
    <n v="2"/>
  </r>
  <r>
    <n v="1238911207"/>
    <x v="0"/>
    <d v="1975-08-16T00:00:00"/>
    <d v="2005-11-08T00:00:00"/>
    <m/>
    <x v="11"/>
    <n v="29172"/>
    <n v="3"/>
    <n v="1"/>
    <n v="1"/>
    <n v="2"/>
    <n v="1"/>
  </r>
  <r>
    <n v="1238911208"/>
    <x v="0"/>
    <d v="1975-08-17T00:00:00"/>
    <d v="2002-10-18T00:00:00"/>
    <m/>
    <x v="72"/>
    <n v="105634.1"/>
    <n v="2"/>
    <n v="3"/>
    <n v="3"/>
    <n v="2"/>
    <n v="2"/>
  </r>
  <r>
    <n v="1238911209"/>
    <x v="1"/>
    <d v="1975-08-17T00:00:00"/>
    <d v="1998-07-17T00:00:00"/>
    <m/>
    <x v="0"/>
    <n v="29094"/>
    <n v="3"/>
    <n v="2"/>
    <n v="1"/>
    <n v="2"/>
    <n v="1"/>
  </r>
  <r>
    <n v="1238911210"/>
    <x v="0"/>
    <d v="1975-10-20T00:00:00"/>
    <d v="2001-02-11T00:00:00"/>
    <m/>
    <x v="73"/>
    <n v="32240"/>
    <n v="3"/>
    <n v="2"/>
    <n v="1"/>
    <n v="1"/>
    <n v="1"/>
  </r>
  <r>
    <n v="1238911211"/>
    <x v="0"/>
    <d v="1995-02-28T00:00:00"/>
    <d v="2022-05-04T00:00:00"/>
    <m/>
    <x v="73"/>
    <n v="32240"/>
    <n v="1"/>
    <n v="1"/>
    <n v="2"/>
    <n v="3"/>
    <n v="3"/>
  </r>
  <r>
    <n v="1238911212"/>
    <x v="1"/>
    <d v="1995-10-31T00:00:00"/>
    <d v="2019-08-22T00:00:00"/>
    <d v="2022-12-16T00:00:00"/>
    <x v="30"/>
    <n v="32266"/>
    <n v="3"/>
    <n v="3"/>
    <n v="2"/>
    <n v="2"/>
    <n v="2"/>
  </r>
  <r>
    <n v="1238911213"/>
    <x v="1"/>
    <d v="1975-11-30T00:00:00"/>
    <d v="2009-06-10T00:00:00"/>
    <m/>
    <x v="74"/>
    <n v="44642"/>
    <n v="1"/>
    <n v="2"/>
    <n v="3"/>
    <n v="3"/>
    <n v="2"/>
  </r>
  <r>
    <n v="1238911214"/>
    <x v="1"/>
    <d v="1971-12-11T00:00:00"/>
    <d v="2021-05-05T00:00:00"/>
    <d v="2022-10-13T00:00:00"/>
    <x v="11"/>
    <n v="27768"/>
    <n v="3"/>
    <n v="3"/>
    <n v="2"/>
    <n v="3"/>
    <n v="1"/>
  </r>
  <r>
    <n v="1238911215"/>
    <x v="1"/>
    <d v="1975-12-22T00:00:00"/>
    <d v="1997-11-21T00:00:00"/>
    <m/>
    <x v="17"/>
    <n v="31200"/>
    <n v="2"/>
    <n v="2"/>
    <n v="3"/>
    <n v="1"/>
    <n v="1"/>
  </r>
  <r>
    <n v="1238911216"/>
    <x v="1"/>
    <d v="1976-02-12T00:00:00"/>
    <d v="2004-06-11T00:00:00"/>
    <m/>
    <x v="18"/>
    <n v="30316"/>
    <n v="1"/>
    <n v="3"/>
    <n v="2"/>
    <n v="1"/>
    <n v="3"/>
  </r>
  <r>
    <n v="1238911217"/>
    <x v="1"/>
    <d v="1976-03-17T00:00:00"/>
    <d v="2002-06-10T00:00:00"/>
    <m/>
    <x v="0"/>
    <n v="27300"/>
    <n v="1"/>
    <n v="1"/>
    <n v="3"/>
    <n v="3"/>
    <n v="2"/>
  </r>
  <r>
    <n v="1238911218"/>
    <x v="1"/>
    <d v="1976-04-19T00:00:00"/>
    <d v="2001-06-23T00:00:00"/>
    <m/>
    <x v="75"/>
    <n v="143687.5"/>
    <n v="2"/>
    <n v="2"/>
    <n v="2"/>
    <n v="3"/>
    <n v="2"/>
  </r>
  <r>
    <n v="1238911219"/>
    <x v="1"/>
    <d v="1976-05-21T00:00:00"/>
    <d v="1999-12-15T00:00:00"/>
    <m/>
    <x v="0"/>
    <n v="30966"/>
    <n v="1"/>
    <n v="3"/>
    <n v="3"/>
    <n v="2"/>
    <n v="2"/>
  </r>
  <r>
    <n v="1238911220"/>
    <x v="1"/>
    <d v="1976-06-10T00:00:00"/>
    <d v="2009-01-02T00:00:00"/>
    <m/>
    <x v="76"/>
    <n v="71399.899999999994"/>
    <n v="2"/>
    <n v="3"/>
    <n v="1"/>
    <n v="2"/>
    <n v="2"/>
  </r>
  <r>
    <n v="1238911221"/>
    <x v="0"/>
    <d v="1976-08-18T00:00:00"/>
    <d v="2009-03-22T00:00:00"/>
    <m/>
    <x v="77"/>
    <n v="51449.399999999994"/>
    <n v="1"/>
    <n v="1"/>
    <n v="1"/>
    <n v="1"/>
    <n v="2"/>
  </r>
  <r>
    <n v="1238911222"/>
    <x v="0"/>
    <d v="1976-08-21T00:00:00"/>
    <d v="2010-08-11T00:00:00"/>
    <m/>
    <x v="0"/>
    <n v="33826"/>
    <n v="3"/>
    <n v="2"/>
    <n v="3"/>
    <n v="2"/>
    <n v="1"/>
  </r>
  <r>
    <n v="1238911223"/>
    <x v="1"/>
    <d v="1972-10-04T00:00:00"/>
    <d v="2020-12-28T00:00:00"/>
    <d v="2022-01-07T00:00:00"/>
    <x v="78"/>
    <n v="31407.5"/>
    <n v="2"/>
    <n v="2"/>
    <n v="2"/>
    <n v="3"/>
    <n v="3"/>
  </r>
  <r>
    <n v="1238911224"/>
    <x v="1"/>
    <d v="1976-10-18T00:00:00"/>
    <d v="2005-11-08T00:00:00"/>
    <m/>
    <x v="30"/>
    <n v="28838.75"/>
    <n v="3"/>
    <n v="2"/>
    <n v="1"/>
    <n v="3"/>
    <n v="3"/>
  </r>
  <r>
    <n v="1238911225"/>
    <x v="1"/>
    <d v="1976-10-18T00:00:00"/>
    <d v="2021-10-18T00:00:00"/>
    <d v="2023-02-24T00:00:00"/>
    <x v="30"/>
    <n v="28838.75"/>
    <n v="1"/>
    <n v="1"/>
    <n v="2"/>
    <n v="2"/>
    <n v="2"/>
  </r>
  <r>
    <n v="1238911226"/>
    <x v="0"/>
    <d v="1976-10-19T00:00:00"/>
    <d v="2008-04-30T00:00:00"/>
    <m/>
    <x v="79"/>
    <n v="260100.09999999998"/>
    <n v="2"/>
    <n v="2"/>
    <n v="2"/>
    <n v="3"/>
    <n v="2"/>
  </r>
  <r>
    <n v="1238911227"/>
    <x v="1"/>
    <d v="1976-11-03T00:00:00"/>
    <d v="1998-07-17T00:00:00"/>
    <m/>
    <x v="11"/>
    <n v="27768"/>
    <n v="2"/>
    <n v="3"/>
    <n v="3"/>
    <n v="1"/>
    <n v="3"/>
  </r>
  <r>
    <n v="1238911228"/>
    <x v="0"/>
    <d v="1977-01-29T00:00:00"/>
    <d v="2012-02-12T00:00:00"/>
    <d v="2014-06-22T00:00:00"/>
    <x v="0"/>
    <n v="29510"/>
    <n v="2"/>
    <n v="1"/>
    <n v="2"/>
    <n v="3"/>
    <n v="2"/>
  </r>
  <r>
    <n v="1238911229"/>
    <x v="1"/>
    <d v="1977-02-03T00:00:00"/>
    <d v="2003-08-21T00:00:00"/>
    <m/>
    <x v="18"/>
    <n v="26137.5"/>
    <n v="2"/>
    <n v="2"/>
    <n v="1"/>
    <n v="2"/>
    <n v="2"/>
  </r>
  <r>
    <n v="1238911230"/>
    <x v="1"/>
    <d v="1977-02-11T00:00:00"/>
    <d v="2009-06-10T00:00:00"/>
    <m/>
    <x v="60"/>
    <n v="51506"/>
    <n v="1"/>
    <n v="3"/>
    <n v="2"/>
    <n v="1"/>
    <n v="3"/>
  </r>
  <r>
    <n v="1238911231"/>
    <x v="1"/>
    <d v="1977-02-12T00:00:00"/>
    <d v="1997-05-04T00:00:00"/>
    <m/>
    <x v="66"/>
    <n v="39371.25"/>
    <n v="3"/>
    <n v="2"/>
    <n v="1"/>
    <n v="3"/>
    <n v="1"/>
  </r>
  <r>
    <n v="1238911232"/>
    <x v="0"/>
    <d v="1977-02-17T00:00:00"/>
    <d v="1997-11-21T00:00:00"/>
    <m/>
    <x v="80"/>
    <n v="163363.20000000001"/>
    <n v="2"/>
    <n v="2"/>
    <n v="2"/>
    <n v="2"/>
    <n v="2"/>
  </r>
  <r>
    <n v="1238911233"/>
    <x v="1"/>
    <d v="1977-02-21T00:00:00"/>
    <d v="2004-06-11T00:00:00"/>
    <m/>
    <x v="81"/>
    <n v="167187.47500000001"/>
    <n v="2"/>
    <n v="2"/>
    <n v="2"/>
    <n v="2"/>
    <n v="3"/>
  </r>
  <r>
    <n v="1238911234"/>
    <x v="1"/>
    <d v="1977-03-11T00:00:00"/>
    <d v="2020-06-09T00:00:00"/>
    <d v="2021-07-22T00:00:00"/>
    <x v="82"/>
    <n v="33566.25"/>
    <n v="1"/>
    <n v="2"/>
    <n v="3"/>
    <n v="1"/>
    <n v="2"/>
  </r>
  <r>
    <n v="1238911235"/>
    <x v="1"/>
    <d v="1977-04-16T00:00:00"/>
    <d v="2023-06-23T00:00:00"/>
    <d v="2025-03-19T00:00:00"/>
    <x v="0"/>
    <n v="28600"/>
    <n v="1"/>
    <n v="3"/>
    <n v="2"/>
    <n v="3"/>
    <n v="3"/>
  </r>
  <r>
    <n v="1238911236"/>
    <x v="0"/>
    <d v="1977-04-28T00:00:00"/>
    <d v="1999-12-15T00:00:00"/>
    <m/>
    <x v="0"/>
    <n v="31902"/>
    <n v="3"/>
    <n v="2"/>
    <n v="3"/>
    <n v="3"/>
    <n v="3"/>
  </r>
  <r>
    <n v="1238911237"/>
    <x v="0"/>
    <d v="1977-07-05T00:00:00"/>
    <d v="2009-03-22T00:00:00"/>
    <m/>
    <x v="83"/>
    <n v="143771.875"/>
    <n v="3"/>
    <n v="3"/>
    <n v="2"/>
    <n v="2"/>
    <n v="2"/>
  </r>
  <r>
    <n v="1238911238"/>
    <x v="0"/>
    <d v="1977-07-29T00:00:00"/>
    <d v="2010-08-11T00:00:00"/>
    <m/>
    <x v="29"/>
    <n v="31616"/>
    <n v="1"/>
    <n v="3"/>
    <n v="3"/>
    <n v="3"/>
    <n v="3"/>
  </r>
  <r>
    <n v="1238911239"/>
    <x v="0"/>
    <d v="1977-10-25T00:00:00"/>
    <d v="1998-12-28T00:00:00"/>
    <m/>
    <x v="84"/>
    <n v="62500"/>
    <n v="2"/>
    <n v="2"/>
    <n v="2"/>
    <n v="3"/>
    <n v="3"/>
  </r>
  <r>
    <n v="1238911240"/>
    <x v="0"/>
    <d v="1977-11-11T00:00:00"/>
    <d v="2005-11-08T00:00:00"/>
    <m/>
    <x v="0"/>
    <n v="27300"/>
    <n v="2"/>
    <n v="2"/>
    <n v="1"/>
    <n v="3"/>
    <n v="1"/>
  </r>
  <r>
    <n v="1238911241"/>
    <x v="1"/>
    <d v="1977-11-14T00:00:00"/>
    <d v="2002-10-18T00:00:00"/>
    <m/>
    <x v="0"/>
    <n v="28652"/>
    <n v="1"/>
    <n v="3"/>
    <n v="2"/>
    <n v="3"/>
    <n v="1"/>
  </r>
  <r>
    <n v="1238911242"/>
    <x v="1"/>
    <d v="1977-11-14T00:00:00"/>
    <d v="1998-07-17T00:00:00"/>
    <m/>
    <x v="0"/>
    <n v="28652"/>
    <n v="2"/>
    <n v="1"/>
    <n v="1"/>
    <n v="3"/>
    <n v="2"/>
  </r>
  <r>
    <n v="1238911243"/>
    <x v="0"/>
    <d v="1977-11-18T00:00:00"/>
    <d v="2001-02-11T00:00:00"/>
    <m/>
    <x v="85"/>
    <n v="125048.3"/>
    <n v="3"/>
    <n v="2"/>
    <n v="3"/>
    <n v="2"/>
    <n v="2"/>
  </r>
  <r>
    <n v="1238911244"/>
    <x v="0"/>
    <d v="1977-12-23T00:00:00"/>
    <d v="2003-08-21T00:00:00"/>
    <m/>
    <x v="86"/>
    <n v="89294.725000000006"/>
    <n v="3"/>
    <n v="3"/>
    <n v="2"/>
    <n v="2"/>
    <n v="1"/>
  </r>
  <r>
    <n v="1238911245"/>
    <x v="0"/>
    <d v="1977-12-23T00:00:00"/>
    <d v="2009-06-10T00:00:00"/>
    <m/>
    <x v="86"/>
    <n v="89294.725000000006"/>
    <n v="3"/>
    <n v="2"/>
    <n v="3"/>
    <n v="3"/>
    <n v="3"/>
  </r>
  <r>
    <n v="1238911246"/>
    <x v="0"/>
    <d v="1978-02-14T00:00:00"/>
    <d v="2009-05-04T00:00:00"/>
    <m/>
    <x v="87"/>
    <n v="262650.05"/>
    <n v="2"/>
    <n v="2"/>
    <n v="3"/>
    <n v="2"/>
    <n v="3"/>
  </r>
  <r>
    <n v="1238911247"/>
    <x v="0"/>
    <d v="1978-04-01T00:00:00"/>
    <d v="2009-11-21T00:00:00"/>
    <m/>
    <x v="88"/>
    <n v="94141.25"/>
    <n v="3"/>
    <n v="2"/>
    <n v="1"/>
    <n v="3"/>
    <n v="3"/>
  </r>
  <r>
    <n v="1238911248"/>
    <x v="1"/>
    <d v="1978-04-23T00:00:00"/>
    <d v="2004-06-11T00:00:00"/>
    <m/>
    <x v="89"/>
    <n v="39390"/>
    <n v="2"/>
    <n v="3"/>
    <n v="2"/>
    <n v="3"/>
    <n v="1"/>
  </r>
  <r>
    <n v="1238911249"/>
    <x v="0"/>
    <d v="1978-05-11T00:00:00"/>
    <d v="2002-06-10T00:00:00"/>
    <m/>
    <x v="45"/>
    <n v="67600"/>
    <n v="1"/>
    <n v="2"/>
    <n v="3"/>
    <n v="2"/>
    <n v="1"/>
  </r>
  <r>
    <n v="1238911250"/>
    <x v="1"/>
    <d v="1978-05-29T00:00:00"/>
    <d v="2011-06-23T00:00:00"/>
    <d v="2016-06-25T00:00:00"/>
    <x v="90"/>
    <n v="90410.774999999994"/>
    <n v="3"/>
    <n v="1"/>
    <n v="2"/>
    <n v="3"/>
    <n v="2"/>
  </r>
  <r>
    <n v="1238911251"/>
    <x v="0"/>
    <d v="1978-08-15T00:00:00"/>
    <d v="1999-12-15T00:00:00"/>
    <m/>
    <x v="91"/>
    <n v="62500"/>
    <n v="3"/>
    <n v="2"/>
    <n v="3"/>
    <n v="3"/>
    <n v="2"/>
  </r>
  <r>
    <n v="1238911252"/>
    <x v="1"/>
    <d v="1978-08-20T00:00:00"/>
    <d v="2009-01-02T00:00:00"/>
    <m/>
    <x v="92"/>
    <n v="231875"/>
    <n v="3"/>
    <n v="2"/>
    <n v="2"/>
    <n v="2"/>
    <n v="3"/>
  </r>
  <r>
    <n v="1238911253"/>
    <x v="1"/>
    <d v="1978-09-11T00:00:00"/>
    <d v="2009-03-22T00:00:00"/>
    <m/>
    <x v="0"/>
    <n v="27456.25"/>
    <n v="2"/>
    <n v="3"/>
    <n v="1"/>
    <n v="1"/>
    <n v="1"/>
  </r>
  <r>
    <n v="1238911254"/>
    <x v="0"/>
    <d v="1978-09-29T00:00:00"/>
    <d v="2010-08-11T00:00:00"/>
    <m/>
    <x v="93"/>
    <n v="30940"/>
    <n v="2"/>
    <n v="1"/>
    <n v="2"/>
    <n v="1"/>
    <n v="1"/>
  </r>
  <r>
    <n v="1238911255"/>
    <x v="0"/>
    <d v="1978-09-29T00:00:00"/>
    <d v="2010-12-28T00:00:00"/>
    <m/>
    <x v="93"/>
    <n v="30940"/>
    <n v="1"/>
    <n v="2"/>
    <n v="3"/>
    <n v="2"/>
    <n v="1"/>
  </r>
  <r>
    <n v="1238911256"/>
    <x v="1"/>
    <d v="1978-11-10T00:00:00"/>
    <d v="2005-11-08T00:00:00"/>
    <m/>
    <x v="0"/>
    <n v="31200"/>
    <n v="3"/>
    <n v="3"/>
    <n v="2"/>
    <n v="3"/>
    <n v="3"/>
  </r>
  <r>
    <n v="1238911257"/>
    <x v="0"/>
    <d v="1978-12-30T00:00:00"/>
    <d v="2002-10-18T00:00:00"/>
    <m/>
    <x v="54"/>
    <n v="63437.5"/>
    <n v="2"/>
    <n v="3"/>
    <n v="3"/>
    <n v="2"/>
    <n v="3"/>
  </r>
  <r>
    <n v="1238911258"/>
    <x v="0"/>
    <d v="1979-01-23T00:00:00"/>
    <d v="2021-12-01T00:00:00"/>
    <m/>
    <x v="94"/>
    <n v="118978.6"/>
    <n v="2"/>
    <n v="2"/>
    <n v="3"/>
    <n v="3"/>
    <n v="3"/>
  </r>
  <r>
    <n v="1238911259"/>
    <x v="0"/>
    <d v="1979-02-01T00:00:00"/>
    <d v="2020-05-28T00:00:00"/>
    <m/>
    <x v="95"/>
    <n v="37570"/>
    <n v="3"/>
    <n v="2"/>
    <n v="1"/>
    <n v="3"/>
    <n v="1"/>
  </r>
  <r>
    <n v="1238911260"/>
    <x v="0"/>
    <d v="1979-02-01T00:00:00"/>
    <d v="2017-09-02T00:00:00"/>
    <d v="2020-05-28T00:00:00"/>
    <x v="95"/>
    <n v="37570"/>
    <n v="2"/>
    <n v="2"/>
    <n v="3"/>
    <n v="1"/>
    <n v="2"/>
  </r>
  <r>
    <n v="1238911261"/>
    <x v="0"/>
    <d v="1979-02-07T00:00:00"/>
    <d v="2016-04-28T00:00:00"/>
    <m/>
    <x v="31"/>
    <n v="67964"/>
    <n v="1"/>
    <n v="3"/>
    <n v="1"/>
    <n v="2"/>
    <n v="1"/>
  </r>
  <r>
    <n v="1238911262"/>
    <x v="0"/>
    <d v="1979-02-23T00:00:00"/>
    <d v="2016-11-23T00:00:00"/>
    <m/>
    <x v="96"/>
    <n v="93967.5"/>
    <n v="3"/>
    <n v="3"/>
    <n v="3"/>
    <n v="2"/>
    <n v="2"/>
  </r>
  <r>
    <n v="1238911263"/>
    <x v="0"/>
    <d v="1979-04-08T00:00:00"/>
    <d v="2016-03-26T00:00:00"/>
    <m/>
    <x v="11"/>
    <n v="34658"/>
    <n v="3"/>
    <n v="3"/>
    <n v="2"/>
    <n v="3"/>
    <n v="3"/>
  </r>
  <r>
    <n v="1238911264"/>
    <x v="1"/>
    <d v="1979-04-25T00:00:00"/>
    <d v="2014-01-23T00:00:00"/>
    <m/>
    <x v="0"/>
    <n v="27300"/>
    <n v="1"/>
    <n v="3"/>
    <n v="3"/>
    <n v="1"/>
    <n v="1"/>
  </r>
  <r>
    <n v="1238911265"/>
    <x v="1"/>
    <d v="1979-04-25T00:00:00"/>
    <d v="2014-01-23T00:00:00"/>
    <m/>
    <x v="0"/>
    <n v="27300"/>
    <n v="2"/>
    <n v="2"/>
    <n v="3"/>
    <n v="2"/>
    <n v="1"/>
  </r>
  <r>
    <n v="1238911266"/>
    <x v="0"/>
    <d v="1979-04-30T00:00:00"/>
    <d v="2011-12-10T00:00:00"/>
    <m/>
    <x v="97"/>
    <n v="32032"/>
    <n v="2"/>
    <n v="1"/>
    <n v="3"/>
    <n v="1"/>
    <n v="1"/>
  </r>
  <r>
    <n v="1238911267"/>
    <x v="0"/>
    <d v="1979-05-24T00:00:00"/>
    <d v="2013-09-20T00:00:00"/>
    <m/>
    <x v="93"/>
    <n v="31616"/>
    <n v="3"/>
    <n v="2"/>
    <n v="2"/>
    <n v="3"/>
    <n v="2"/>
  </r>
  <r>
    <n v="1238911268"/>
    <x v="1"/>
    <d v="1979-06-12T00:00:00"/>
    <d v="2015-07-10T00:00:00"/>
    <m/>
    <x v="0"/>
    <n v="26000"/>
    <n v="1"/>
    <n v="3"/>
    <n v="1"/>
    <n v="3"/>
    <n v="2"/>
  </r>
  <r>
    <n v="1238911269"/>
    <x v="0"/>
    <d v="1979-08-10T00:00:00"/>
    <d v="2022-09-14T00:00:00"/>
    <m/>
    <x v="98"/>
    <n v="170266.19999999998"/>
    <n v="3"/>
    <n v="3"/>
    <n v="2"/>
    <n v="2"/>
    <n v="2"/>
  </r>
  <r>
    <n v="1238911270"/>
    <x v="1"/>
    <d v="1979-08-22T00:00:00"/>
    <d v="2025-09-18T00:00:00"/>
    <m/>
    <x v="99"/>
    <n v="60000"/>
    <n v="3"/>
    <n v="1"/>
    <n v="2"/>
    <n v="1"/>
    <n v="3"/>
  </r>
  <r>
    <n v="1238911271"/>
    <x v="1"/>
    <d v="1979-09-24T00:00:00"/>
    <d v="2015-12-03T00:00:00"/>
    <m/>
    <x v="0"/>
    <n v="29380"/>
    <n v="2"/>
    <n v="2"/>
    <n v="1"/>
    <n v="2"/>
    <n v="2"/>
  </r>
  <r>
    <n v="1238911272"/>
    <x v="1"/>
    <d v="1979-10-16T00:00:00"/>
    <d v="2019-02-15T00:00:00"/>
    <m/>
    <x v="100"/>
    <n v="75036"/>
    <n v="1"/>
    <n v="3"/>
    <n v="1"/>
    <n v="1"/>
    <n v="1"/>
  </r>
  <r>
    <n v="1238911273"/>
    <x v="0"/>
    <d v="1979-10-26T00:00:00"/>
    <d v="2013-03-13T00:00:00"/>
    <m/>
    <x v="101"/>
    <n v="130842.4"/>
    <n v="3"/>
    <n v="2"/>
    <n v="3"/>
    <n v="2"/>
    <n v="2"/>
  </r>
  <r>
    <n v="1238911274"/>
    <x v="0"/>
    <d v="1979-10-27T00:00:00"/>
    <d v="2012-07-25T00:00:00"/>
    <m/>
    <x v="102"/>
    <n v="144103.04999999999"/>
    <n v="2"/>
    <n v="3"/>
    <n v="2"/>
    <n v="2"/>
    <n v="2"/>
  </r>
  <r>
    <n v="1238911275"/>
    <x v="0"/>
    <d v="1980-01-02T00:00:00"/>
    <d v="2021-09-29T00:00:00"/>
    <d v="2023-10-17T00:00:00"/>
    <x v="29"/>
    <n v="30082"/>
    <n v="2"/>
    <n v="3"/>
    <n v="3"/>
    <n v="1"/>
    <n v="2"/>
  </r>
  <r>
    <n v="1238911276"/>
    <x v="1"/>
    <d v="1980-01-14T00:00:00"/>
    <d v="2023-08-16T00:00:00"/>
    <m/>
    <x v="11"/>
    <n v="27768"/>
    <n v="1"/>
    <n v="2"/>
    <n v="1"/>
    <n v="2"/>
    <n v="1"/>
  </r>
  <r>
    <n v="1238911277"/>
    <x v="1"/>
    <d v="1980-03-05T00:00:00"/>
    <d v="2021-12-28T00:00:00"/>
    <m/>
    <x v="103"/>
    <n v="46150"/>
    <n v="1"/>
    <n v="2"/>
    <n v="2"/>
    <n v="1"/>
    <n v="1"/>
  </r>
  <r>
    <n v="1238911278"/>
    <x v="1"/>
    <d v="1980-05-17T00:00:00"/>
    <d v="2019-05-27T00:00:00"/>
    <d v="2022-05-26T00:00:00"/>
    <x v="54"/>
    <n v="63726"/>
    <n v="2"/>
    <n v="2"/>
    <n v="3"/>
    <n v="2"/>
    <n v="3"/>
  </r>
  <r>
    <n v="1238911279"/>
    <x v="0"/>
    <d v="1980-07-06T00:00:00"/>
    <d v="2012-09-01T00:00:00"/>
    <m/>
    <x v="9"/>
    <n v="49439.399999999994"/>
    <n v="1"/>
    <n v="1"/>
    <n v="2"/>
    <n v="3"/>
    <n v="2"/>
  </r>
  <r>
    <n v="1238911280"/>
    <x v="0"/>
    <d v="1980-08-25T00:00:00"/>
    <d v="2023-06-22T00:00:00"/>
    <m/>
    <x v="60"/>
    <n v="49997.5"/>
    <n v="3"/>
    <n v="2"/>
    <n v="1"/>
    <n v="2"/>
    <n v="2"/>
  </r>
  <r>
    <n v="1238911281"/>
    <x v="0"/>
    <d v="1980-09-01T00:00:00"/>
    <d v="2017-07-05T00:00:00"/>
    <m/>
    <x v="104"/>
    <n v="49628.875"/>
    <n v="2"/>
    <n v="2"/>
    <n v="1"/>
    <n v="1"/>
    <n v="2"/>
  </r>
  <r>
    <n v="1238911282"/>
    <x v="0"/>
    <d v="1980-09-01T00:00:00"/>
    <d v="2012-07-20T00:00:00"/>
    <m/>
    <x v="105"/>
    <n v="380842.47499999998"/>
    <n v="3"/>
    <n v="2"/>
    <n v="3"/>
    <n v="3"/>
    <n v="3"/>
  </r>
  <r>
    <n v="1238911283"/>
    <x v="0"/>
    <d v="1980-09-02T00:00:00"/>
    <d v="2019-08-30T00:00:00"/>
    <m/>
    <x v="106"/>
    <n v="171562.5"/>
    <n v="3"/>
    <n v="2"/>
    <n v="3"/>
    <n v="2"/>
    <n v="2"/>
  </r>
  <r>
    <n v="1238911284"/>
    <x v="1"/>
    <d v="1980-09-19T00:00:00"/>
    <d v="2020-06-17T00:00:00"/>
    <m/>
    <x v="107"/>
    <n v="148260.77499999999"/>
    <n v="3"/>
    <n v="2"/>
    <n v="2"/>
    <n v="2"/>
    <n v="2"/>
  </r>
  <r>
    <n v="1238911285"/>
    <x v="0"/>
    <d v="1980-10-01T00:00:00"/>
    <d v="2012-03-10T00:00:00"/>
    <m/>
    <x v="108"/>
    <n v="187500"/>
    <n v="3"/>
    <n v="3"/>
    <n v="2"/>
    <n v="2"/>
    <n v="3"/>
  </r>
  <r>
    <n v="1238911286"/>
    <x v="0"/>
    <d v="1980-10-28T00:00:00"/>
    <d v="2017-05-16T00:00:00"/>
    <d v="2019-10-30T00:00:00"/>
    <x v="29"/>
    <n v="29900"/>
    <n v="3"/>
    <n v="2"/>
    <n v="1"/>
    <n v="1"/>
    <n v="2"/>
  </r>
  <r>
    <n v="1238911287"/>
    <x v="0"/>
    <d v="1980-11-06T00:00:00"/>
    <d v="2017-11-25T00:00:00"/>
    <d v="2024-11-13T00:00:00"/>
    <x v="22"/>
    <n v="52500"/>
    <n v="2"/>
    <n v="1"/>
    <n v="1"/>
    <n v="1"/>
    <n v="2"/>
  </r>
  <r>
    <n v="1238911288"/>
    <x v="1"/>
    <d v="1980-11-07T00:00:00"/>
    <d v="2012-05-05T00:00:00"/>
    <m/>
    <x v="109"/>
    <n v="45526.25"/>
    <n v="2"/>
    <n v="3"/>
    <n v="2"/>
    <n v="2"/>
    <n v="3"/>
  </r>
  <r>
    <n v="1238911289"/>
    <x v="0"/>
    <d v="1980-11-30T00:00:00"/>
    <d v="2023-05-17T00:00:00"/>
    <m/>
    <x v="110"/>
    <n v="39000"/>
    <n v="2"/>
    <n v="2"/>
    <n v="2"/>
    <n v="1"/>
    <n v="1"/>
  </r>
  <r>
    <n v="1238911290"/>
    <x v="0"/>
    <d v="1980-11-30T00:00:00"/>
    <d v="2018-12-17T00:00:00"/>
    <m/>
    <x v="110"/>
    <n v="39000"/>
    <n v="2"/>
    <n v="2"/>
    <n v="1"/>
    <n v="3"/>
    <n v="2"/>
  </r>
  <r>
    <n v="1238911291"/>
    <x v="1"/>
    <d v="1980-12-13T00:00:00"/>
    <d v="2013-06-04T00:00:00"/>
    <m/>
    <x v="78"/>
    <n v="31200"/>
    <n v="1"/>
    <n v="2"/>
    <n v="3"/>
    <n v="1"/>
    <n v="3"/>
  </r>
  <r>
    <n v="1238911292"/>
    <x v="1"/>
    <d v="1981-01-08T00:00:00"/>
    <d v="2014-04-26T00:00:00"/>
    <m/>
    <x v="111"/>
    <n v="135000.125"/>
    <n v="3"/>
    <n v="2"/>
    <n v="2"/>
    <n v="2"/>
    <n v="3"/>
  </r>
  <r>
    <n v="1238911293"/>
    <x v="0"/>
    <d v="1981-01-22T00:00:00"/>
    <d v="2012-09-07T00:00:00"/>
    <m/>
    <x v="29"/>
    <n v="34840"/>
    <n v="3"/>
    <n v="3"/>
    <n v="3"/>
    <n v="2"/>
    <n v="2"/>
  </r>
  <r>
    <n v="1238911294"/>
    <x v="0"/>
    <d v="1981-03-01T00:00:00"/>
    <d v="2014-01-01T00:00:00"/>
    <m/>
    <x v="112"/>
    <n v="62865.074999999997"/>
    <n v="1"/>
    <n v="1"/>
    <n v="2"/>
    <n v="3"/>
    <n v="3"/>
  </r>
  <r>
    <n v="1238911295"/>
    <x v="0"/>
    <d v="1981-04-02T00:00:00"/>
    <d v="2016-11-09T00:00:00"/>
    <d v="2020-08-23T00:00:00"/>
    <x v="29"/>
    <n v="30602"/>
    <n v="2"/>
    <n v="1"/>
    <n v="3"/>
    <n v="3"/>
    <n v="2"/>
  </r>
  <r>
    <n v="1238911296"/>
    <x v="1"/>
    <d v="1981-04-03T00:00:00"/>
    <d v="2012-04-06T00:00:00"/>
    <d v="2012-10-14T00:00:00"/>
    <x v="94"/>
    <n v="101423.4"/>
    <n v="2"/>
    <n v="2"/>
    <n v="2"/>
    <n v="2"/>
    <n v="3"/>
  </r>
  <r>
    <n v="1238911297"/>
    <x v="1"/>
    <d v="1981-05-04T00:00:00"/>
    <d v="2021-01-13T00:00:00"/>
    <d v="2024-05-23T00:00:00"/>
    <x v="60"/>
    <n v="56250"/>
    <n v="1"/>
    <n v="2"/>
    <n v="3"/>
    <n v="2"/>
    <n v="1"/>
  </r>
  <r>
    <n v="1238911298"/>
    <x v="0"/>
    <d v="1981-06-22T00:00:00"/>
    <d v="2019-05-26T00:00:00"/>
    <m/>
    <x v="113"/>
    <n v="70125"/>
    <n v="3"/>
    <n v="3"/>
    <n v="2"/>
    <n v="2"/>
    <n v="3"/>
  </r>
  <r>
    <n v="1238911299"/>
    <x v="0"/>
    <d v="1981-06-29T00:00:00"/>
    <d v="2019-06-27T00:00:00"/>
    <d v="2020-06-12T00:00:00"/>
    <x v="29"/>
    <n v="26520"/>
    <n v="2"/>
    <n v="1"/>
    <n v="3"/>
    <n v="3"/>
    <n v="3"/>
  </r>
  <r>
    <n v="1238911300"/>
    <x v="1"/>
    <d v="1981-07-15T00:00:00"/>
    <d v="2012-07-26T00:00:00"/>
    <m/>
    <x v="34"/>
    <n v="59831.850000000006"/>
    <n v="3"/>
    <n v="1"/>
    <n v="1"/>
    <n v="1"/>
    <n v="1"/>
  </r>
  <r>
    <n v="1238911301"/>
    <x v="0"/>
    <d v="1981-09-30T00:00:00"/>
    <d v="2012-12-05T00:00:00"/>
    <m/>
    <x v="114"/>
    <n v="146372.52499999999"/>
    <n v="2"/>
    <n v="2"/>
    <n v="2"/>
    <n v="2"/>
    <n v="2"/>
  </r>
  <r>
    <n v="1238911302"/>
    <x v="1"/>
    <d v="1981-10-03T00:00:00"/>
    <d v="2021-08-06T00:00:00"/>
    <m/>
    <x v="0"/>
    <n v="26520"/>
    <n v="3"/>
    <n v="2"/>
    <n v="2"/>
    <n v="2"/>
    <n v="1"/>
  </r>
  <r>
    <n v="1238911303"/>
    <x v="1"/>
    <d v="1981-10-18T00:00:00"/>
    <d v="2013-10-18T00:00:00"/>
    <m/>
    <x v="0"/>
    <n v="29718"/>
    <n v="2"/>
    <n v="1"/>
    <n v="2"/>
    <n v="3"/>
    <n v="3"/>
  </r>
  <r>
    <n v="1238911304"/>
    <x v="1"/>
    <d v="1981-10-18T00:00:00"/>
    <d v="2017-10-18T00:00:00"/>
    <d v="2019-11-04T00:00:00"/>
    <x v="0"/>
    <n v="29718"/>
    <n v="1"/>
    <n v="3"/>
    <n v="1"/>
    <n v="2"/>
    <n v="1"/>
  </r>
  <r>
    <n v="1238911305"/>
    <x v="1"/>
    <d v="1981-12-11T00:00:00"/>
    <d v="2010-01-20T00:00:00"/>
    <m/>
    <x v="22"/>
    <n v="67423.850000000006"/>
    <n v="1"/>
    <n v="2"/>
    <n v="3"/>
    <n v="3"/>
    <n v="3"/>
  </r>
  <r>
    <n v="1238911306"/>
    <x v="0"/>
    <d v="1981-12-14T00:00:00"/>
    <d v="2018-11-13T00:00:00"/>
    <m/>
    <x v="115"/>
    <n v="107992.625"/>
    <n v="3"/>
    <n v="3"/>
    <n v="2"/>
    <n v="2"/>
    <n v="3"/>
  </r>
  <r>
    <n v="1238911307"/>
    <x v="0"/>
    <d v="1982-02-22T00:00:00"/>
    <d v="2017-01-07T00:00:00"/>
    <d v="2018-12-27T00:00:00"/>
    <x v="116"/>
    <n v="87069.45"/>
    <n v="3"/>
    <n v="2"/>
    <n v="1"/>
    <n v="2"/>
    <n v="3"/>
  </r>
  <r>
    <n v="1238911308"/>
    <x v="1"/>
    <d v="1982-04-30T00:00:00"/>
    <d v="2012-03-09T00:00:00"/>
    <m/>
    <x v="16"/>
    <n v="41943.75"/>
    <n v="2"/>
    <n v="1"/>
    <n v="1"/>
    <n v="2"/>
    <n v="3"/>
  </r>
  <r>
    <n v="1238911309"/>
    <x v="1"/>
    <d v="1982-05-12T00:00:00"/>
    <d v="2012-12-15T00:00:00"/>
    <m/>
    <x v="76"/>
    <n v="81250"/>
    <n v="3"/>
    <n v="1"/>
    <n v="2"/>
    <n v="3"/>
    <n v="1"/>
  </r>
  <r>
    <n v="1238911310"/>
    <x v="0"/>
    <d v="1982-07-17T00:00:00"/>
    <d v="2012-03-02T00:00:00"/>
    <m/>
    <x v="29"/>
    <n v="26520"/>
    <n v="3"/>
    <n v="2"/>
    <n v="3"/>
    <n v="3"/>
    <n v="2"/>
  </r>
  <r>
    <n v="1238911311"/>
    <x v="1"/>
    <d v="1982-08-18T00:00:00"/>
    <d v="2017-01-13T00:00:00"/>
    <m/>
    <x v="85"/>
    <n v="125065.52499999999"/>
    <n v="3"/>
    <n v="2"/>
    <n v="2"/>
    <n v="2"/>
    <n v="3"/>
  </r>
  <r>
    <n v="1238911312"/>
    <x v="1"/>
    <d v="1982-09-02T00:00:00"/>
    <d v="2012-11-16T00:00:00"/>
    <m/>
    <x v="11"/>
    <n v="28106"/>
    <n v="3"/>
    <n v="2"/>
    <n v="1"/>
    <n v="2"/>
    <n v="2"/>
  </r>
  <r>
    <n v="1238911313"/>
    <x v="0"/>
    <d v="1982-09-29T00:00:00"/>
    <d v="2019-01-16T00:00:00"/>
    <m/>
    <x v="22"/>
    <n v="73149.7"/>
    <n v="1"/>
    <n v="1"/>
    <n v="3"/>
    <n v="1"/>
    <n v="2"/>
  </r>
  <r>
    <n v="1238911314"/>
    <x v="0"/>
    <d v="1982-10-09T00:00:00"/>
    <d v="2014-04-12T00:00:00"/>
    <m/>
    <x v="117"/>
    <n v="156250"/>
    <n v="3"/>
    <n v="3"/>
    <n v="3"/>
    <n v="2"/>
    <n v="2"/>
  </r>
  <r>
    <n v="1238911315"/>
    <x v="1"/>
    <d v="1982-10-11T00:00:00"/>
    <d v="2018-02-25T00:00:00"/>
    <d v="2024-05-15T00:00:00"/>
    <x v="118"/>
    <n v="52494"/>
    <n v="2"/>
    <n v="3"/>
    <n v="1"/>
    <n v="1"/>
    <n v="3"/>
  </r>
  <r>
    <n v="1238911316"/>
    <x v="1"/>
    <d v="1982-10-13T00:00:00"/>
    <d v="2011-06-19T00:00:00"/>
    <m/>
    <x v="11"/>
    <n v="30264"/>
    <n v="2"/>
    <n v="2"/>
    <n v="2"/>
    <n v="2"/>
    <n v="1"/>
  </r>
  <r>
    <n v="1238911317"/>
    <x v="1"/>
    <d v="1982-11-27T00:00:00"/>
    <d v="2016-04-08T00:00:00"/>
    <m/>
    <x v="11"/>
    <n v="29276.25"/>
    <n v="3"/>
    <n v="1"/>
    <n v="2"/>
    <n v="2"/>
    <n v="2"/>
  </r>
  <r>
    <n v="1238911318"/>
    <x v="1"/>
    <d v="1982-11-27T00:00:00"/>
    <d v="2016-04-08T00:00:00"/>
    <m/>
    <x v="11"/>
    <n v="29276.25"/>
    <n v="2"/>
    <n v="3"/>
    <n v="2"/>
    <n v="3"/>
    <n v="3"/>
  </r>
  <r>
    <n v="1238911319"/>
    <x v="1"/>
    <d v="1982-12-13T00:00:00"/>
    <d v="2023-07-02T00:00:00"/>
    <d v="2025-08-20T00:00:00"/>
    <x v="0"/>
    <n v="31200"/>
    <n v="3"/>
    <n v="2"/>
    <n v="3"/>
    <n v="3"/>
    <n v="3"/>
  </r>
  <r>
    <n v="1238911320"/>
    <x v="0"/>
    <d v="1982-12-25T00:00:00"/>
    <d v="2021-12-31T00:00:00"/>
    <d v="2022-06-29T00:00:00"/>
    <x v="119"/>
    <n v="32396"/>
    <n v="2"/>
    <n v="2"/>
    <n v="3"/>
    <n v="3"/>
    <n v="1"/>
  </r>
  <r>
    <n v="1238911321"/>
    <x v="1"/>
    <d v="1982-12-25T00:00:00"/>
    <d v="2018-06-29T00:00:00"/>
    <m/>
    <x v="60"/>
    <n v="49997.5"/>
    <n v="3"/>
    <n v="3"/>
    <n v="3"/>
    <n v="1"/>
    <n v="1"/>
  </r>
  <r>
    <n v="1238911322"/>
    <x v="1"/>
    <d v="1983-01-26T00:00:00"/>
    <d v="2020-08-03T00:00:00"/>
    <d v="2022-10-15T00:00:00"/>
    <x v="49"/>
    <n v="87922.574999999997"/>
    <n v="3"/>
    <n v="3"/>
    <n v="2"/>
    <n v="2"/>
    <n v="2"/>
  </r>
  <r>
    <n v="1238911323"/>
    <x v="0"/>
    <d v="1983-02-01T00:00:00"/>
    <d v="2022-11-20T00:00:00"/>
    <m/>
    <x v="120"/>
    <n v="68750"/>
    <n v="2"/>
    <n v="2"/>
    <n v="1"/>
    <n v="2"/>
    <n v="1"/>
  </r>
  <r>
    <n v="1238911324"/>
    <x v="1"/>
    <d v="1983-02-20T00:00:00"/>
    <d v="2024-01-07T00:00:00"/>
    <d v="2025-06-25T00:00:00"/>
    <x v="0"/>
    <n v="29354"/>
    <n v="1"/>
    <n v="1"/>
    <n v="3"/>
    <n v="3"/>
    <n v="3"/>
  </r>
  <r>
    <n v="1238911325"/>
    <x v="1"/>
    <d v="1983-02-20T00:00:00"/>
    <d v="2016-10-26T00:00:00"/>
    <m/>
    <x v="0"/>
    <n v="29354"/>
    <n v="3"/>
    <n v="3"/>
    <n v="3"/>
    <n v="1"/>
    <n v="1"/>
  </r>
  <r>
    <n v="1238911326"/>
    <x v="1"/>
    <d v="1983-04-13T00:00:00"/>
    <d v="2023-08-24T00:00:00"/>
    <d v="2024-09-12T00:00:00"/>
    <x v="30"/>
    <n v="28695"/>
    <n v="2"/>
    <n v="3"/>
    <n v="3"/>
    <n v="2"/>
    <n v="1"/>
  </r>
  <r>
    <n v="1238911327"/>
    <x v="0"/>
    <d v="1983-04-21T00:00:00"/>
    <d v="2017-01-05T00:00:00"/>
    <m/>
    <x v="121"/>
    <n v="112500"/>
    <n v="2"/>
    <n v="2"/>
    <n v="3"/>
    <n v="2"/>
    <n v="2"/>
  </r>
  <r>
    <n v="1238911328"/>
    <x v="0"/>
    <d v="1983-05-02T00:00:00"/>
    <d v="2020-07-22T00:00:00"/>
    <m/>
    <x v="122"/>
    <n v="90750"/>
    <n v="2"/>
    <n v="3"/>
    <n v="3"/>
    <n v="1"/>
    <n v="1"/>
  </r>
  <r>
    <n v="1238911329"/>
    <x v="1"/>
    <d v="1983-06-04T00:00:00"/>
    <d v="2008-04-16T00:00:00"/>
    <m/>
    <x v="59"/>
    <n v="59193.549999999996"/>
    <n v="1"/>
    <n v="3"/>
    <n v="1"/>
    <n v="3"/>
    <n v="1"/>
  </r>
  <r>
    <n v="1238911330"/>
    <x v="0"/>
    <d v="1983-06-06T00:00:00"/>
    <d v="2020-09-10T00:00:00"/>
    <m/>
    <x v="0"/>
    <n v="36400"/>
    <n v="3"/>
    <n v="2"/>
    <n v="3"/>
    <n v="3"/>
    <n v="3"/>
  </r>
  <r>
    <n v="1238911331"/>
    <x v="1"/>
    <d v="1983-06-28T00:00:00"/>
    <d v="2014-11-23T00:00:00"/>
    <d v="2022-06-22T00:00:00"/>
    <x v="11"/>
    <n v="26520"/>
    <n v="3"/>
    <n v="1"/>
    <n v="2"/>
    <n v="1"/>
    <n v="2"/>
  </r>
  <r>
    <n v="1238911332"/>
    <x v="1"/>
    <d v="1983-07-11T00:00:00"/>
    <d v="2025-03-08T00:00:00"/>
    <m/>
    <x v="123"/>
    <n v="56263.75"/>
    <n v="2"/>
    <n v="3"/>
    <n v="3"/>
    <n v="1"/>
    <n v="3"/>
  </r>
  <r>
    <n v="1238911333"/>
    <x v="0"/>
    <d v="1983-08-30T00:00:00"/>
    <d v="2015-04-18T00:00:00"/>
    <m/>
    <x v="54"/>
    <n v="68750"/>
    <n v="1"/>
    <n v="3"/>
    <n v="1"/>
    <n v="3"/>
    <n v="1"/>
  </r>
  <r>
    <n v="1238911334"/>
    <x v="0"/>
    <d v="1983-11-11T00:00:00"/>
    <d v="2022-01-19T00:00:00"/>
    <d v="2022-09-01T00:00:00"/>
    <x v="124"/>
    <n v="90176.25"/>
    <n v="2"/>
    <n v="1"/>
    <n v="2"/>
    <n v="3"/>
    <n v="2"/>
  </r>
  <r>
    <n v="1238911335"/>
    <x v="0"/>
    <d v="1983-12-09T00:00:00"/>
    <d v="2013-03-13T00:00:00"/>
    <m/>
    <x v="125"/>
    <n v="112500"/>
    <n v="2"/>
    <n v="2"/>
    <n v="2"/>
    <n v="3"/>
    <n v="2"/>
  </r>
  <r>
    <n v="1238911336"/>
    <x v="0"/>
    <d v="1983-12-30T00:00:00"/>
    <d v="2017-07-19T00:00:00"/>
    <m/>
    <x v="11"/>
    <n v="26000"/>
    <n v="2"/>
    <n v="2"/>
    <n v="3"/>
    <n v="1"/>
    <n v="1"/>
  </r>
  <r>
    <n v="1238911337"/>
    <x v="0"/>
    <d v="1984-01-03T00:00:00"/>
    <d v="2020-11-17T00:00:00"/>
    <m/>
    <x v="29"/>
    <n v="31200"/>
    <n v="2"/>
    <n v="3"/>
    <n v="3"/>
    <n v="1"/>
    <n v="2"/>
  </r>
  <r>
    <n v="1238911338"/>
    <x v="0"/>
    <d v="1984-02-15T00:00:00"/>
    <d v="2012-11-16T00:00:00"/>
    <m/>
    <x v="126"/>
    <n v="76492"/>
    <n v="3"/>
    <n v="2"/>
    <n v="1"/>
    <n v="3"/>
    <n v="3"/>
  </r>
  <r>
    <n v="1238911339"/>
    <x v="0"/>
    <d v="1984-02-20T00:00:00"/>
    <d v="2006-09-01T00:00:00"/>
    <m/>
    <x v="93"/>
    <n v="35724"/>
    <n v="3"/>
    <n v="1"/>
    <n v="3"/>
    <n v="3"/>
    <n v="1"/>
  </r>
  <r>
    <n v="1238911340"/>
    <x v="1"/>
    <d v="1984-03-06T00:00:00"/>
    <d v="2018-03-30T00:00:00"/>
    <d v="2020-05-17T00:00:00"/>
    <x v="93"/>
    <n v="32994"/>
    <n v="1"/>
    <n v="3"/>
    <n v="2"/>
    <n v="1"/>
    <n v="3"/>
  </r>
  <r>
    <n v="1238911341"/>
    <x v="0"/>
    <d v="1984-03-21T00:00:00"/>
    <d v="2015-07-28T00:00:00"/>
    <d v="2024-04-10T00:00:00"/>
    <x v="127"/>
    <n v="75000"/>
    <n v="1"/>
    <n v="2"/>
    <n v="2"/>
    <n v="2"/>
    <n v="2"/>
  </r>
  <r>
    <n v="1238911342"/>
    <x v="0"/>
    <d v="1984-03-24T00:00:00"/>
    <d v="2025-05-21T00:00:00"/>
    <m/>
    <x v="128"/>
    <n v="65000"/>
    <n v="3"/>
    <n v="2"/>
    <n v="3"/>
    <n v="3"/>
    <n v="1"/>
  </r>
  <r>
    <n v="1238911343"/>
    <x v="0"/>
    <d v="1984-03-26T00:00:00"/>
    <d v="2017-12-23T00:00:00"/>
    <m/>
    <x v="129"/>
    <n v="163152.27500000002"/>
    <n v="3"/>
    <n v="3"/>
    <n v="2"/>
    <n v="3"/>
    <n v="2"/>
  </r>
  <r>
    <n v="1238911344"/>
    <x v="0"/>
    <d v="1984-03-31T00:00:00"/>
    <d v="2022-08-28T00:00:00"/>
    <d v="2023-03-22T00:00:00"/>
    <x v="130"/>
    <n v="68750"/>
    <n v="2"/>
    <n v="3"/>
    <n v="2"/>
    <n v="1"/>
    <n v="3"/>
  </r>
  <r>
    <n v="1238911345"/>
    <x v="0"/>
    <d v="1984-04-16T00:00:00"/>
    <d v="2013-01-30T00:00:00"/>
    <m/>
    <x v="131"/>
    <n v="112500"/>
    <n v="2"/>
    <n v="2"/>
    <n v="2"/>
    <n v="2"/>
    <n v="2"/>
  </r>
  <r>
    <n v="1238911346"/>
    <x v="1"/>
    <d v="1984-05-01T00:00:00"/>
    <d v="2016-08-26T00:00:00"/>
    <m/>
    <x v="100"/>
    <n v="78472.55"/>
    <n v="2"/>
    <n v="2"/>
    <n v="1"/>
    <n v="2"/>
    <n v="3"/>
  </r>
  <r>
    <n v="1238911347"/>
    <x v="0"/>
    <d v="1984-06-15T00:00:00"/>
    <d v="2012-11-07T00:00:00"/>
    <m/>
    <x v="132"/>
    <n v="93750"/>
    <n v="2"/>
    <n v="1"/>
    <n v="3"/>
    <n v="1"/>
    <n v="2"/>
  </r>
  <r>
    <n v="1238911348"/>
    <x v="0"/>
    <d v="1984-06-19T00:00:00"/>
    <d v="2021-09-17T00:00:00"/>
    <m/>
    <x v="49"/>
    <n v="87500"/>
    <n v="3"/>
    <n v="2"/>
    <n v="2"/>
    <n v="2"/>
    <n v="3"/>
  </r>
  <r>
    <n v="1238911349"/>
    <x v="1"/>
    <d v="1984-07-16T00:00:00"/>
    <d v="2016-04-13T00:00:00"/>
    <m/>
    <x v="133"/>
    <n v="190890.05000000002"/>
    <n v="3"/>
    <n v="3"/>
    <n v="2"/>
    <n v="2"/>
    <n v="3"/>
  </r>
  <r>
    <n v="1238911350"/>
    <x v="1"/>
    <d v="1984-09-18T00:00:00"/>
    <d v="2024-11-27T00:00:00"/>
    <m/>
    <x v="0"/>
    <n v="28600"/>
    <n v="1"/>
    <n v="2"/>
    <n v="2"/>
    <n v="3"/>
    <n v="3"/>
  </r>
  <r>
    <n v="1238911351"/>
    <x v="0"/>
    <d v="1984-09-19T00:00:00"/>
    <d v="2012-03-18T00:00:00"/>
    <d v="2025-03-21T00:00:00"/>
    <x v="134"/>
    <n v="66187.875"/>
    <n v="3"/>
    <n v="2"/>
    <n v="1"/>
    <n v="3"/>
    <n v="1"/>
  </r>
  <r>
    <n v="1238911352"/>
    <x v="1"/>
    <d v="1984-10-28T00:00:00"/>
    <d v="2020-09-19T00:00:00"/>
    <d v="2023-03-01T00:00:00"/>
    <x v="130"/>
    <n v="65000"/>
    <n v="2"/>
    <n v="2"/>
    <n v="1"/>
    <n v="1"/>
    <n v="3"/>
  </r>
  <r>
    <n v="1238911353"/>
    <x v="0"/>
    <d v="1984-11-18T00:00:00"/>
    <d v="2021-02-05T00:00:00"/>
    <m/>
    <x v="135"/>
    <n v="163500.02499999999"/>
    <n v="3"/>
    <n v="2"/>
    <n v="2"/>
    <n v="3"/>
    <n v="2"/>
  </r>
  <r>
    <n v="1238911354"/>
    <x v="0"/>
    <d v="1984-11-22T00:00:00"/>
    <d v="2017-10-29T00:00:00"/>
    <m/>
    <x v="136"/>
    <n v="162500"/>
    <n v="2"/>
    <n v="2"/>
    <n v="2"/>
    <n v="3"/>
    <n v="2"/>
  </r>
  <r>
    <n v="1238911355"/>
    <x v="0"/>
    <d v="1984-12-26T00:00:00"/>
    <d v="2022-08-03T00:00:00"/>
    <m/>
    <x v="137"/>
    <n v="105708.85"/>
    <n v="2"/>
    <n v="3"/>
    <n v="2"/>
    <n v="3"/>
    <n v="2"/>
  </r>
  <r>
    <n v="1238911356"/>
    <x v="0"/>
    <d v="1985-03-11T00:00:00"/>
    <d v="2013-08-19T00:00:00"/>
    <m/>
    <x v="138"/>
    <n v="221063.69999999998"/>
    <n v="2"/>
    <n v="3"/>
    <n v="2"/>
    <n v="2"/>
    <n v="3"/>
  </r>
  <r>
    <n v="1238911357"/>
    <x v="0"/>
    <d v="1985-03-15T00:00:00"/>
    <d v="2021-05-03T00:00:00"/>
    <d v="2021-12-29T00:00:00"/>
    <x v="139"/>
    <n v="75000"/>
    <n v="2"/>
    <n v="2"/>
    <n v="3"/>
    <n v="2"/>
    <n v="3"/>
  </r>
  <r>
    <n v="1238911358"/>
    <x v="0"/>
    <d v="1985-04-14T00:00:00"/>
    <d v="2012-01-21T00:00:00"/>
    <m/>
    <x v="140"/>
    <n v="53055.275000000001"/>
    <n v="2"/>
    <n v="2"/>
    <n v="3"/>
    <n v="2"/>
    <n v="1"/>
  </r>
  <r>
    <n v="1238911359"/>
    <x v="0"/>
    <d v="1985-05-03T00:00:00"/>
    <d v="2015-03-10T00:00:00"/>
    <m/>
    <x v="141"/>
    <n v="343331.95"/>
    <n v="3"/>
    <n v="2"/>
    <n v="3"/>
    <n v="2"/>
    <n v="3"/>
  </r>
  <r>
    <n v="1238911360"/>
    <x v="0"/>
    <d v="1985-05-06T00:00:00"/>
    <d v="2020-07-07T00:00:00"/>
    <m/>
    <x v="142"/>
    <n v="50000"/>
    <n v="3"/>
    <n v="3"/>
    <n v="2"/>
    <n v="3"/>
    <n v="1"/>
  </r>
  <r>
    <n v="1238911361"/>
    <x v="0"/>
    <d v="1985-07-19T00:00:00"/>
    <d v="2015-07-19T00:00:00"/>
    <m/>
    <x v="143"/>
    <n v="101504"/>
    <n v="2"/>
    <n v="3"/>
    <n v="2"/>
    <n v="2"/>
    <n v="3"/>
  </r>
  <r>
    <n v="1238911362"/>
    <x v="0"/>
    <d v="1985-07-27T00:00:00"/>
    <d v="2016-10-06T00:00:00"/>
    <m/>
    <x v="144"/>
    <n v="182000"/>
    <n v="3"/>
    <n v="2"/>
    <n v="2"/>
    <n v="3"/>
    <n v="3"/>
  </r>
  <r>
    <n v="1238911363"/>
    <x v="0"/>
    <d v="1985-08-16T00:00:00"/>
    <d v="2018-10-31T00:00:00"/>
    <d v="2023-11-04T00:00:00"/>
    <x v="77"/>
    <n v="47337.9375"/>
    <n v="1"/>
    <n v="2"/>
    <n v="1"/>
    <n v="3"/>
    <n v="1"/>
  </r>
  <r>
    <n v="1238911364"/>
    <x v="0"/>
    <d v="1985-08-16T00:00:00"/>
    <d v="2014-04-09T00:00:00"/>
    <m/>
    <x v="145"/>
    <n v="111168.85"/>
    <n v="2"/>
    <n v="3"/>
    <n v="2"/>
    <n v="2"/>
    <n v="2"/>
  </r>
  <r>
    <n v="1238911365"/>
    <x v="0"/>
    <d v="1985-08-31T00:00:00"/>
    <d v="2019-11-26T00:00:00"/>
    <m/>
    <x v="146"/>
    <n v="100000"/>
    <n v="3"/>
    <n v="3"/>
    <n v="2"/>
    <n v="2"/>
    <n v="2"/>
  </r>
  <r>
    <n v="1238911366"/>
    <x v="0"/>
    <d v="1985-09-08T00:00:00"/>
    <d v="2017-09-28T00:00:00"/>
    <m/>
    <x v="147"/>
    <n v="112500"/>
    <n v="2"/>
    <n v="3"/>
    <n v="2"/>
    <n v="2"/>
    <n v="3"/>
  </r>
  <r>
    <n v="1238911367"/>
    <x v="0"/>
    <d v="1985-09-14T00:00:00"/>
    <d v="2014-10-22T00:00:00"/>
    <d v="2025-03-05T00:00:00"/>
    <x v="5"/>
    <n v="62500"/>
    <n v="1"/>
    <n v="2"/>
    <n v="3"/>
    <n v="1"/>
    <n v="3"/>
  </r>
  <r>
    <n v="1238911368"/>
    <x v="0"/>
    <d v="1985-09-15T00:00:00"/>
    <d v="2013-07-06T00:00:00"/>
    <m/>
    <x v="31"/>
    <n v="59124"/>
    <n v="3"/>
    <n v="3"/>
    <n v="1"/>
    <n v="3"/>
    <n v="1"/>
  </r>
  <r>
    <n v="1238911369"/>
    <x v="0"/>
    <d v="1985-09-15T00:00:00"/>
    <d v="2020-06-09T00:00:00"/>
    <m/>
    <x v="31"/>
    <n v="59124"/>
    <n v="1"/>
    <n v="2"/>
    <n v="1"/>
    <n v="2"/>
    <n v="1"/>
  </r>
  <r>
    <n v="1238911370"/>
    <x v="0"/>
    <d v="1985-10-15T00:00:00"/>
    <d v="2015-08-08T00:00:00"/>
    <m/>
    <x v="49"/>
    <n v="92500"/>
    <n v="3"/>
    <n v="3"/>
    <n v="2"/>
    <n v="2"/>
    <n v="3"/>
  </r>
  <r>
    <n v="1238911371"/>
    <x v="1"/>
    <d v="1985-10-15T00:00:00"/>
    <d v="2020-01-29T00:00:00"/>
    <d v="2023-11-08T00:00:00"/>
    <x v="73"/>
    <n v="31980"/>
    <n v="1"/>
    <n v="2"/>
    <n v="2"/>
    <n v="1"/>
    <n v="1"/>
  </r>
  <r>
    <n v="1238911372"/>
    <x v="1"/>
    <d v="1985-10-15T00:00:00"/>
    <d v="2022-08-13T00:00:00"/>
    <d v="2023-11-08T00:00:00"/>
    <x v="73"/>
    <n v="31980"/>
    <n v="3"/>
    <n v="2"/>
    <n v="3"/>
    <n v="2"/>
    <n v="2"/>
  </r>
  <r>
    <n v="1238911373"/>
    <x v="0"/>
    <d v="1985-10-28T00:00:00"/>
    <d v="2014-04-25T00:00:00"/>
    <d v="2016-05-23T00:00:00"/>
    <x v="148"/>
    <n v="101998"/>
    <n v="3"/>
    <n v="3"/>
    <n v="3"/>
    <n v="3"/>
    <n v="2"/>
  </r>
  <r>
    <n v="1238911374"/>
    <x v="1"/>
    <d v="1985-12-27T00:00:00"/>
    <d v="2018-04-06T00:00:00"/>
    <m/>
    <x v="149"/>
    <n v="67028"/>
    <n v="3"/>
    <n v="2"/>
    <n v="1"/>
    <n v="2"/>
    <n v="2"/>
  </r>
  <r>
    <n v="1238911375"/>
    <x v="0"/>
    <d v="1986-01-25T00:00:00"/>
    <d v="2014-04-23T00:00:00"/>
    <m/>
    <x v="69"/>
    <n v="115260.925"/>
    <n v="3"/>
    <n v="2"/>
    <n v="3"/>
    <n v="2"/>
    <n v="2"/>
  </r>
  <r>
    <n v="1238911376"/>
    <x v="1"/>
    <d v="1986-02-03T00:00:00"/>
    <d v="2014-02-09T00:00:00"/>
    <m/>
    <x v="49"/>
    <n v="72187.5"/>
    <n v="2"/>
    <n v="2"/>
    <n v="2"/>
    <n v="3"/>
    <n v="3"/>
  </r>
  <r>
    <n v="1238911377"/>
    <x v="0"/>
    <d v="1986-02-20T00:00:00"/>
    <d v="2015-10-19T00:00:00"/>
    <m/>
    <x v="150"/>
    <n v="117500"/>
    <n v="2"/>
    <n v="2"/>
    <n v="3"/>
    <n v="3"/>
    <n v="2"/>
  </r>
  <r>
    <n v="1238911378"/>
    <x v="0"/>
    <d v="1986-04-05T00:00:00"/>
    <d v="2012-10-02T00:00:00"/>
    <m/>
    <x v="151"/>
    <n v="53768"/>
    <n v="2"/>
    <n v="1"/>
    <n v="2"/>
    <n v="1"/>
    <n v="1"/>
  </r>
  <r>
    <n v="1238911379"/>
    <x v="0"/>
    <d v="1986-07-29T00:00:00"/>
    <d v="2021-06-22T00:00:00"/>
    <m/>
    <x v="148"/>
    <n v="100000"/>
    <n v="3"/>
    <n v="2"/>
    <n v="2"/>
    <n v="2"/>
    <n v="2"/>
  </r>
  <r>
    <n v="1238911380"/>
    <x v="1"/>
    <d v="1986-09-10T00:00:00"/>
    <d v="2015-11-07T00:00:00"/>
    <d v="2025-07-03T00:00:00"/>
    <x v="152"/>
    <n v="75000"/>
    <n v="3"/>
    <n v="2"/>
    <n v="3"/>
    <n v="2"/>
    <n v="3"/>
  </r>
  <r>
    <n v="1238911381"/>
    <x v="1"/>
    <d v="1986-09-10T00:00:00"/>
    <d v="2024-02-15T00:00:00"/>
    <m/>
    <x v="152"/>
    <n v="75000"/>
    <n v="1"/>
    <n v="3"/>
    <n v="3"/>
    <n v="2"/>
    <n v="1"/>
  </r>
  <r>
    <n v="1238911382"/>
    <x v="0"/>
    <d v="1986-11-06T00:00:00"/>
    <d v="2017-09-20T00:00:00"/>
    <m/>
    <x v="54"/>
    <n v="56237.5"/>
    <n v="3"/>
    <n v="3"/>
    <n v="1"/>
    <n v="1"/>
    <n v="1"/>
  </r>
  <r>
    <n v="1238911383"/>
    <x v="0"/>
    <d v="1986-11-12T00:00:00"/>
    <d v="2014-04-16T00:00:00"/>
    <m/>
    <x v="49"/>
    <n v="68750"/>
    <n v="2"/>
    <n v="2"/>
    <n v="3"/>
    <n v="2"/>
    <n v="2"/>
  </r>
  <r>
    <n v="1238911384"/>
    <x v="0"/>
    <d v="1986-12-01T00:00:00"/>
    <d v="2013-12-19T00:00:00"/>
    <m/>
    <x v="153"/>
    <n v="68750"/>
    <n v="1"/>
    <n v="1"/>
    <n v="1"/>
    <n v="3"/>
    <n v="2"/>
  </r>
  <r>
    <n v="1238911385"/>
    <x v="1"/>
    <d v="1986-12-09T00:00:00"/>
    <d v="2022-09-02T00:00:00"/>
    <m/>
    <x v="154"/>
    <n v="45084"/>
    <n v="3"/>
    <n v="1"/>
    <n v="1"/>
    <n v="3"/>
    <n v="2"/>
  </r>
  <r>
    <n v="1238911386"/>
    <x v="0"/>
    <d v="1986-12-28T00:00:00"/>
    <d v="2013-05-19T00:00:00"/>
    <m/>
    <x v="49"/>
    <n v="87500"/>
    <n v="3"/>
    <n v="2"/>
    <n v="3"/>
    <n v="2"/>
    <n v="1"/>
  </r>
  <r>
    <n v="1238911387"/>
    <x v="0"/>
    <d v="1987-01-08T00:00:00"/>
    <d v="2014-08-16T00:00:00"/>
    <d v="2023-02-06T00:00:00"/>
    <x v="155"/>
    <n v="88750"/>
    <n v="3"/>
    <n v="1"/>
    <n v="3"/>
    <n v="2"/>
    <n v="2"/>
  </r>
  <r>
    <n v="1238911388"/>
    <x v="0"/>
    <d v="1987-01-08T00:00:00"/>
    <d v="2012-08-21T00:00:00"/>
    <m/>
    <x v="155"/>
    <n v="88750"/>
    <n v="2"/>
    <n v="3"/>
    <n v="3"/>
    <n v="3"/>
    <n v="1"/>
  </r>
  <r>
    <n v="1238911389"/>
    <x v="1"/>
    <d v="1987-01-09T00:00:00"/>
    <d v="2022-08-22T00:00:00"/>
    <m/>
    <x v="156"/>
    <n v="77500"/>
    <n v="2"/>
    <n v="1"/>
    <n v="2"/>
    <n v="3"/>
    <n v="1"/>
  </r>
  <r>
    <n v="1238911390"/>
    <x v="0"/>
    <d v="1987-02-10T00:00:00"/>
    <d v="2019-08-06T00:00:00"/>
    <d v="2023-04-14T00:00:00"/>
    <x v="157"/>
    <n v="55567.524999999994"/>
    <n v="3"/>
    <n v="2"/>
    <n v="2"/>
    <n v="3"/>
    <n v="2"/>
  </r>
  <r>
    <n v="1238911391"/>
    <x v="1"/>
    <d v="1987-02-27T00:00:00"/>
    <d v="2012-02-22T00:00:00"/>
    <m/>
    <x v="158"/>
    <n v="44200"/>
    <n v="1"/>
    <n v="1"/>
    <n v="1"/>
    <n v="2"/>
    <n v="2"/>
  </r>
  <r>
    <n v="1238911392"/>
    <x v="0"/>
    <d v="1987-03-02T00:00:00"/>
    <d v="2012-12-05T00:00:00"/>
    <m/>
    <x v="159"/>
    <n v="101999.95000000001"/>
    <n v="2"/>
    <n v="2"/>
    <n v="2"/>
    <n v="3"/>
    <n v="2"/>
  </r>
  <r>
    <n v="1238911393"/>
    <x v="1"/>
    <d v="1987-04-06T00:00:00"/>
    <d v="2013-05-23T00:00:00"/>
    <d v="2023-10-23T00:00:00"/>
    <x v="160"/>
    <n v="96532.800000000003"/>
    <n v="3"/>
    <n v="2"/>
    <n v="2"/>
    <n v="2"/>
    <n v="1"/>
  </r>
  <r>
    <n v="1238911394"/>
    <x v="1"/>
    <d v="1987-05-02T00:00:00"/>
    <d v="2014-06-29T00:00:00"/>
    <m/>
    <x v="161"/>
    <n v="75750"/>
    <n v="2"/>
    <n v="1"/>
    <n v="3"/>
    <n v="2"/>
    <n v="3"/>
  </r>
  <r>
    <n v="1238911395"/>
    <x v="0"/>
    <d v="1987-05-24T00:00:00"/>
    <d v="2023-09-08T00:00:00"/>
    <m/>
    <x v="126"/>
    <n v="87500"/>
    <n v="1"/>
    <n v="3"/>
    <n v="3"/>
    <n v="2"/>
    <n v="1"/>
  </r>
  <r>
    <n v="1238911396"/>
    <x v="1"/>
    <d v="1987-05-24T00:00:00"/>
    <d v="2010-11-05T00:00:00"/>
    <d v="2024-09-22T00:00:00"/>
    <x v="162"/>
    <n v="82062.5"/>
    <n v="1"/>
    <n v="3"/>
    <n v="2"/>
    <n v="3"/>
    <n v="2"/>
  </r>
  <r>
    <n v="1238911397"/>
    <x v="0"/>
    <d v="1987-06-27T00:00:00"/>
    <d v="2014-07-05T00:00:00"/>
    <m/>
    <x v="85"/>
    <n v="125115.25"/>
    <n v="3"/>
    <n v="2"/>
    <n v="3"/>
    <n v="3"/>
    <n v="3"/>
  </r>
  <r>
    <n v="1238911398"/>
    <x v="0"/>
    <d v="1987-06-30T00:00:00"/>
    <d v="2014-03-12T00:00:00"/>
    <m/>
    <x v="163"/>
    <n v="98099.625"/>
    <n v="1"/>
    <n v="3"/>
    <n v="3"/>
    <n v="3"/>
    <n v="3"/>
  </r>
  <r>
    <n v="1238911399"/>
    <x v="0"/>
    <d v="1987-07-08T00:00:00"/>
    <d v="2014-12-17T00:00:00"/>
    <m/>
    <x v="164"/>
    <n v="78216.25"/>
    <n v="1"/>
    <n v="3"/>
    <n v="1"/>
    <n v="3"/>
    <n v="3"/>
  </r>
  <r>
    <n v="1238911400"/>
    <x v="0"/>
    <d v="1987-07-13T00:00:00"/>
    <d v="2019-10-18T00:00:00"/>
    <m/>
    <x v="165"/>
    <n v="50654.824999999997"/>
    <n v="2"/>
    <n v="2"/>
    <n v="1"/>
    <n v="3"/>
    <n v="3"/>
  </r>
  <r>
    <n v="1238911401"/>
    <x v="0"/>
    <d v="1987-07-27T00:00:00"/>
    <d v="2013-01-03T00:00:00"/>
    <m/>
    <x v="166"/>
    <n v="75000"/>
    <n v="1"/>
    <n v="2"/>
    <n v="1"/>
    <n v="1"/>
    <n v="2"/>
  </r>
  <r>
    <n v="1238911402"/>
    <x v="0"/>
    <d v="1987-08-05T00:00:00"/>
    <d v="2012-05-24T00:00:00"/>
    <d v="2018-05-02T00:00:00"/>
    <x v="60"/>
    <n v="47814"/>
    <n v="1"/>
    <n v="3"/>
    <n v="3"/>
    <n v="1"/>
    <n v="1"/>
  </r>
  <r>
    <n v="1238911403"/>
    <x v="0"/>
    <d v="1987-08-15T00:00:00"/>
    <d v="2019-02-07T00:00:00"/>
    <d v="2023-11-08T00:00:00"/>
    <x v="167"/>
    <n v="87500"/>
    <n v="1"/>
    <n v="3"/>
    <n v="3"/>
    <n v="1"/>
    <n v="2"/>
  </r>
  <r>
    <n v="1238911404"/>
    <x v="1"/>
    <d v="1983-08-24T00:00:00"/>
    <d v="2017-10-31T00:00:00"/>
    <d v="2021-11-16T00:00:00"/>
    <x v="168"/>
    <n v="69004"/>
    <n v="2"/>
    <n v="3"/>
    <n v="3"/>
    <n v="2"/>
    <n v="3"/>
  </r>
  <r>
    <n v="1238911405"/>
    <x v="1"/>
    <d v="1987-09-08T00:00:00"/>
    <d v="2018-10-01T00:00:00"/>
    <m/>
    <x v="49"/>
    <n v="77711.400000000009"/>
    <n v="2"/>
    <n v="2"/>
    <n v="2"/>
    <n v="3"/>
    <n v="3"/>
  </r>
  <r>
    <n v="1238911406"/>
    <x v="1"/>
    <d v="1987-09-14T00:00:00"/>
    <d v="2022-06-01T00:00:00"/>
    <m/>
    <x v="169"/>
    <n v="60281.25"/>
    <n v="3"/>
    <n v="3"/>
    <n v="3"/>
    <n v="3"/>
    <n v="2"/>
  </r>
  <r>
    <n v="1238911407"/>
    <x v="1"/>
    <d v="1987-11-28T00:00:00"/>
    <d v="2012-01-23T00:00:00"/>
    <m/>
    <x v="170"/>
    <n v="187500"/>
    <n v="3"/>
    <n v="2"/>
    <n v="2"/>
    <n v="2"/>
    <n v="2"/>
  </r>
  <r>
    <n v="1238911408"/>
    <x v="1"/>
    <d v="1987-12-30T00:00:00"/>
    <d v="2017-03-25T00:00:00"/>
    <m/>
    <x v="0"/>
    <n v="28886"/>
    <n v="2"/>
    <n v="1"/>
    <n v="1"/>
    <n v="3"/>
    <n v="3"/>
  </r>
  <r>
    <n v="1238911409"/>
    <x v="0"/>
    <d v="1987-12-31T00:00:00"/>
    <d v="2014-05-20T00:00:00"/>
    <m/>
    <x v="49"/>
    <n v="82468.75"/>
    <n v="3"/>
    <n v="3"/>
    <n v="2"/>
    <n v="2"/>
    <n v="1"/>
  </r>
  <r>
    <n v="1238911410"/>
    <x v="0"/>
    <d v="1995-01-10T00:00:00"/>
    <d v="2018-10-24T00:00:00"/>
    <m/>
    <x v="49"/>
    <n v="82468.75"/>
    <n v="3"/>
    <n v="3"/>
    <n v="2"/>
    <n v="2"/>
    <n v="2"/>
  </r>
  <r>
    <n v="1238911411"/>
    <x v="0"/>
    <d v="1988-01-23T00:00:00"/>
    <d v="2024-07-10T00:00:00"/>
    <m/>
    <x v="171"/>
    <n v="55354"/>
    <n v="1"/>
    <n v="2"/>
    <n v="3"/>
    <n v="2"/>
    <n v="1"/>
  </r>
  <r>
    <n v="1238911412"/>
    <x v="1"/>
    <d v="1988-02-03T00:00:00"/>
    <d v="2020-09-30T00:00:00"/>
    <m/>
    <x v="82"/>
    <n v="31512.5"/>
    <n v="3"/>
    <n v="2"/>
    <n v="2"/>
    <n v="1"/>
    <n v="2"/>
  </r>
  <r>
    <n v="1238911413"/>
    <x v="1"/>
    <d v="1988-02-03T00:00:00"/>
    <d v="2012-11-15T00:00:00"/>
    <m/>
    <x v="82"/>
    <n v="31512.5"/>
    <n v="3"/>
    <n v="2"/>
    <n v="3"/>
    <n v="1"/>
    <n v="1"/>
  </r>
  <r>
    <n v="1238911414"/>
    <x v="0"/>
    <d v="1988-02-15T00:00:00"/>
    <d v="2017-09-03T00:00:00"/>
    <m/>
    <x v="172"/>
    <n v="153518.625"/>
    <n v="3"/>
    <n v="3"/>
    <n v="3"/>
    <n v="3"/>
    <n v="2"/>
  </r>
  <r>
    <n v="1238911415"/>
    <x v="0"/>
    <d v="1988-04-26T00:00:00"/>
    <d v="2013-09-25T00:00:00"/>
    <m/>
    <x v="173"/>
    <n v="70353.75"/>
    <n v="3"/>
    <n v="1"/>
    <n v="1"/>
    <n v="3"/>
    <n v="2"/>
  </r>
  <r>
    <n v="1238911416"/>
    <x v="1"/>
    <d v="1988-06-10T00:00:00"/>
    <d v="2016-01-20T00:00:00"/>
    <d v="2018-09-08T00:00:00"/>
    <x v="174"/>
    <n v="39650"/>
    <n v="2"/>
    <n v="1"/>
    <n v="1"/>
    <n v="2"/>
    <n v="2"/>
  </r>
  <r>
    <n v="1238911417"/>
    <x v="1"/>
    <d v="1988-06-10T00:00:00"/>
    <d v="2016-01-20T00:00:00"/>
    <m/>
    <x v="174"/>
    <n v="39650"/>
    <n v="1"/>
    <n v="2"/>
    <n v="3"/>
    <n v="2"/>
    <n v="3"/>
  </r>
  <r>
    <n v="1238911418"/>
    <x v="1"/>
    <d v="1988-06-28T00:00:00"/>
    <d v="2017-09-16T00:00:00"/>
    <m/>
    <x v="78"/>
    <n v="28600"/>
    <n v="2"/>
    <n v="2"/>
    <n v="3"/>
    <n v="3"/>
    <n v="3"/>
  </r>
  <r>
    <n v="1238911419"/>
    <x v="0"/>
    <d v="1988-07-02T00:00:00"/>
    <d v="2013-04-26T00:00:00"/>
    <d v="2021-05-19T00:00:00"/>
    <x v="82"/>
    <n v="31512.5"/>
    <n v="1"/>
    <n v="1"/>
    <n v="1"/>
    <n v="2"/>
    <n v="2"/>
  </r>
  <r>
    <n v="1238911420"/>
    <x v="0"/>
    <d v="1988-07-12T00:00:00"/>
    <d v="2013-02-20T00:00:00"/>
    <m/>
    <x v="175"/>
    <n v="62400"/>
    <n v="2"/>
    <n v="3"/>
    <n v="2"/>
    <n v="2"/>
    <n v="1"/>
  </r>
  <r>
    <n v="1238911421"/>
    <x v="1"/>
    <d v="1988-07-25T00:00:00"/>
    <d v="2015-08-14T00:00:00"/>
    <m/>
    <x v="73"/>
    <n v="31200"/>
    <n v="2"/>
    <n v="2"/>
    <n v="2"/>
    <n v="3"/>
    <n v="2"/>
  </r>
  <r>
    <n v="1238911422"/>
    <x v="0"/>
    <d v="1988-08-21T00:00:00"/>
    <d v="2013-09-10T00:00:00"/>
    <m/>
    <x v="176"/>
    <n v="80990"/>
    <n v="3"/>
    <n v="1"/>
    <n v="3"/>
    <n v="2"/>
    <n v="2"/>
  </r>
  <r>
    <n v="1238911423"/>
    <x v="0"/>
    <d v="1988-08-24T00:00:00"/>
    <d v="2013-01-31T00:00:00"/>
    <m/>
    <x v="85"/>
    <n v="126809.47500000001"/>
    <n v="2"/>
    <n v="2"/>
    <n v="3"/>
    <n v="2"/>
    <n v="3"/>
  </r>
  <r>
    <n v="1238911424"/>
    <x v="1"/>
    <d v="1988-09-12T00:00:00"/>
    <d v="2016-12-25T00:00:00"/>
    <m/>
    <x v="177"/>
    <n v="64062.5"/>
    <n v="3"/>
    <n v="3"/>
    <n v="3"/>
    <n v="1"/>
    <n v="1"/>
  </r>
  <r>
    <n v="1238911425"/>
    <x v="0"/>
    <d v="1988-09-20T00:00:00"/>
    <d v="2016-09-28T00:00:00"/>
    <m/>
    <x v="143"/>
    <n v="75000"/>
    <n v="3"/>
    <n v="2"/>
    <n v="1"/>
    <n v="1"/>
    <n v="1"/>
  </r>
  <r>
    <n v="1238911426"/>
    <x v="1"/>
    <d v="1988-10-03T00:00:00"/>
    <d v="2016-06-29T00:00:00"/>
    <m/>
    <x v="178"/>
    <n v="83687.5"/>
    <n v="2"/>
    <n v="1"/>
    <n v="3"/>
    <n v="3"/>
    <n v="2"/>
  </r>
  <r>
    <n v="1238911427"/>
    <x v="1"/>
    <d v="1988-11-02T00:00:00"/>
    <d v="2015-08-29T00:00:00"/>
    <m/>
    <x v="179"/>
    <n v="128243.375"/>
    <n v="2"/>
    <n v="3"/>
    <n v="3"/>
    <n v="3"/>
    <n v="2"/>
  </r>
  <r>
    <n v="1238911428"/>
    <x v="0"/>
    <d v="1988-11-25T00:00:00"/>
    <d v="2019-08-18T00:00:00"/>
    <m/>
    <x v="180"/>
    <n v="50050"/>
    <n v="1"/>
    <n v="3"/>
    <n v="1"/>
    <n v="1"/>
    <n v="2"/>
  </r>
  <r>
    <n v="1238911429"/>
    <x v="0"/>
    <d v="1988-12-09T00:00:00"/>
    <d v="2015-08-07T00:00:00"/>
    <m/>
    <x v="176"/>
    <n v="88114"/>
    <n v="3"/>
    <n v="2"/>
    <n v="1"/>
    <n v="2"/>
    <n v="2"/>
  </r>
  <r>
    <n v="1238911430"/>
    <x v="1"/>
    <d v="1989-01-17T00:00:00"/>
    <d v="2012-11-13T00:00:00"/>
    <m/>
    <x v="181"/>
    <n v="61875.125"/>
    <n v="1"/>
    <n v="3"/>
    <n v="1"/>
    <n v="2"/>
    <n v="3"/>
  </r>
  <r>
    <n v="1238911431"/>
    <x v="0"/>
    <d v="1989-02-22T00:00:00"/>
    <d v="2013-09-22T00:00:00"/>
    <m/>
    <x v="171"/>
    <n v="51012"/>
    <n v="2"/>
    <n v="3"/>
    <n v="1"/>
    <n v="3"/>
    <n v="3"/>
  </r>
  <r>
    <n v="1238911432"/>
    <x v="0"/>
    <d v="1989-02-22T00:00:00"/>
    <d v="2015-04-25T00:00:00"/>
    <d v="2024-08-07T00:00:00"/>
    <x v="171"/>
    <n v="51012"/>
    <n v="1"/>
    <n v="2"/>
    <n v="1"/>
    <n v="3"/>
    <n v="3"/>
  </r>
  <r>
    <n v="1238911433"/>
    <x v="0"/>
    <d v="1989-03-13T00:00:00"/>
    <d v="2020-09-16T00:00:00"/>
    <m/>
    <x v="171"/>
    <n v="57928"/>
    <n v="3"/>
    <n v="3"/>
    <n v="2"/>
    <n v="1"/>
    <n v="1"/>
  </r>
  <r>
    <n v="1238911434"/>
    <x v="0"/>
    <d v="1989-04-03T00:00:00"/>
    <d v="2013-07-06T00:00:00"/>
    <m/>
    <x v="182"/>
    <n v="91961.674999999988"/>
    <n v="2"/>
    <n v="2"/>
    <n v="1"/>
    <n v="1"/>
    <n v="2"/>
  </r>
  <r>
    <n v="1238911435"/>
    <x v="0"/>
    <d v="1989-04-03T00:00:00"/>
    <d v="2013-07-06T00:00:00"/>
    <m/>
    <x v="182"/>
    <n v="91961.674999999988"/>
    <n v="1"/>
    <n v="3"/>
    <n v="3"/>
    <n v="1"/>
    <n v="3"/>
  </r>
  <r>
    <n v="1238911436"/>
    <x v="0"/>
    <d v="1989-04-08T00:00:00"/>
    <d v="2020-02-09T00:00:00"/>
    <m/>
    <x v="0"/>
    <n v="31200"/>
    <n v="3"/>
    <n v="3"/>
    <n v="1"/>
    <n v="2"/>
    <n v="2"/>
  </r>
  <r>
    <n v="1238911437"/>
    <x v="0"/>
    <d v="1989-04-25T00:00:00"/>
    <d v="2014-05-08T00:00:00"/>
    <d v="2016-06-15T00:00:00"/>
    <x v="183"/>
    <n v="63927.825000000004"/>
    <n v="2"/>
    <n v="1"/>
    <n v="1"/>
    <n v="2"/>
    <n v="3"/>
  </r>
  <r>
    <n v="1238911438"/>
    <x v="1"/>
    <d v="1989-06-25T00:00:00"/>
    <d v="2015-02-06T00:00:00"/>
    <d v="2022-11-02T00:00:00"/>
    <x v="184"/>
    <n v="76187.5"/>
    <n v="2"/>
    <n v="2"/>
    <n v="3"/>
    <n v="3"/>
    <n v="1"/>
  </r>
  <r>
    <n v="1238911439"/>
    <x v="0"/>
    <d v="1989-07-06T00:00:00"/>
    <d v="2021-11-04T00:00:00"/>
    <m/>
    <x v="185"/>
    <n v="61204"/>
    <n v="1"/>
    <n v="3"/>
    <n v="3"/>
    <n v="1"/>
    <n v="1"/>
  </r>
  <r>
    <n v="1238911440"/>
    <x v="0"/>
    <d v="1989-07-31T00:00:00"/>
    <d v="2022-03-16T00:00:00"/>
    <m/>
    <x v="186"/>
    <n v="60000"/>
    <n v="2"/>
    <n v="2"/>
    <n v="1"/>
    <n v="2"/>
    <n v="2"/>
  </r>
  <r>
    <n v="1238911441"/>
    <x v="0"/>
    <d v="1989-08-03T00:00:00"/>
    <d v="2023-03-15T00:00:00"/>
    <m/>
    <x v="70"/>
    <n v="39598"/>
    <n v="2"/>
    <n v="1"/>
    <n v="1"/>
    <n v="2"/>
    <n v="2"/>
  </r>
  <r>
    <n v="1238911442"/>
    <x v="0"/>
    <d v="1985-08-08T00:00:00"/>
    <d v="2019-11-17T00:00:00"/>
    <d v="2021-11-25T00:00:00"/>
    <x v="173"/>
    <n v="83694"/>
    <n v="2"/>
    <n v="2"/>
    <n v="2"/>
    <n v="2"/>
    <n v="3"/>
  </r>
  <r>
    <n v="1238911443"/>
    <x v="0"/>
    <d v="1989-08-13T00:00:00"/>
    <d v="2020-01-31T00:00:00"/>
    <m/>
    <x v="120"/>
    <n v="71041.25"/>
    <n v="3"/>
    <n v="1"/>
    <n v="1"/>
    <n v="2"/>
    <n v="2"/>
  </r>
  <r>
    <n v="1238911444"/>
    <x v="0"/>
    <d v="1989-12-05T00:00:00"/>
    <d v="2022-12-10T00:00:00"/>
    <d v="2023-08-02T00:00:00"/>
    <x v="187"/>
    <n v="69187.625"/>
    <n v="1"/>
    <n v="3"/>
    <n v="1"/>
    <n v="1"/>
    <n v="3"/>
  </r>
  <r>
    <n v="1238911445"/>
    <x v="0"/>
    <d v="1989-09-17T00:00:00"/>
    <d v="2017-12-22T00:00:00"/>
    <d v="2022-06-01T00:00:00"/>
    <x v="188"/>
    <n v="89249.875"/>
    <n v="3"/>
    <n v="2"/>
    <n v="2"/>
    <n v="1"/>
    <n v="3"/>
  </r>
  <r>
    <n v="1238911446"/>
    <x v="0"/>
    <d v="1989-10-04T00:00:00"/>
    <d v="2016-08-27T00:00:00"/>
    <d v="2024-08-21T00:00:00"/>
    <x v="171"/>
    <n v="65625"/>
    <n v="3"/>
    <n v="3"/>
    <n v="3"/>
    <n v="2"/>
    <n v="3"/>
  </r>
  <r>
    <n v="1238911447"/>
    <x v="0"/>
    <d v="1989-10-10T00:00:00"/>
    <d v="2012-04-20T00:00:00"/>
    <m/>
    <x v="189"/>
    <n v="41067.5"/>
    <n v="1"/>
    <n v="1"/>
    <n v="2"/>
    <n v="1"/>
    <n v="2"/>
  </r>
  <r>
    <n v="1238911448"/>
    <x v="0"/>
    <d v="1989-10-25T00:00:00"/>
    <d v="2022-07-13T00:00:00"/>
    <d v="2023-11-30T00:00:00"/>
    <x v="169"/>
    <n v="62816"/>
    <n v="3"/>
    <n v="1"/>
    <n v="2"/>
    <n v="2"/>
    <n v="3"/>
  </r>
  <r>
    <n v="1238911449"/>
    <x v="1"/>
    <d v="1989-11-29T00:00:00"/>
    <d v="2024-05-23T00:00:00"/>
    <m/>
    <x v="171"/>
    <n v="51766"/>
    <n v="3"/>
    <n v="2"/>
    <n v="3"/>
    <n v="3"/>
    <n v="3"/>
  </r>
  <r>
    <n v="1238911450"/>
    <x v="0"/>
    <d v="1989-12-02T00:00:00"/>
    <d v="2016-09-13T00:00:00"/>
    <d v="2023-09-07T00:00:00"/>
    <x v="190"/>
    <n v="39000"/>
    <n v="1"/>
    <n v="3"/>
    <n v="3"/>
    <n v="2"/>
    <n v="1"/>
  </r>
  <r>
    <n v="1238911451"/>
    <x v="0"/>
    <d v="1990-01-07T00:00:00"/>
    <d v="2020-01-18T00:00:00"/>
    <d v="2023-04-19T00:00:00"/>
    <x v="49"/>
    <n v="83687.5"/>
    <n v="3"/>
    <n v="2"/>
    <n v="2"/>
    <n v="2"/>
    <n v="2"/>
  </r>
  <r>
    <n v="1238911452"/>
    <x v="0"/>
    <d v="1986-01-24T00:00:00"/>
    <d v="2018-02-17T00:00:00"/>
    <d v="2022-02-21T00:00:00"/>
    <x v="191"/>
    <n v="56812.5"/>
    <n v="1"/>
    <n v="1"/>
    <n v="3"/>
    <n v="3"/>
    <n v="2"/>
  </r>
  <r>
    <n v="1238911453"/>
    <x v="1"/>
    <d v="1990-01-28T00:00:00"/>
    <d v="2013-11-21T00:00:00"/>
    <m/>
    <x v="100"/>
    <n v="85692.75"/>
    <n v="1"/>
    <n v="3"/>
    <n v="1"/>
    <n v="2"/>
    <n v="1"/>
  </r>
  <r>
    <n v="1238911454"/>
    <x v="1"/>
    <d v="1990-02-07T00:00:00"/>
    <d v="2012-09-03T00:00:00"/>
    <d v="2024-07-17T00:00:00"/>
    <x v="66"/>
    <n v="44200"/>
    <n v="1"/>
    <n v="1"/>
    <n v="3"/>
    <n v="3"/>
    <n v="1"/>
  </r>
  <r>
    <n v="1238911455"/>
    <x v="1"/>
    <d v="1990-02-24T00:00:00"/>
    <d v="2015-10-13T00:00:00"/>
    <m/>
    <x v="0"/>
    <n v="28600"/>
    <n v="3"/>
    <n v="2"/>
    <n v="1"/>
    <n v="3"/>
    <n v="1"/>
  </r>
  <r>
    <n v="1238911456"/>
    <x v="0"/>
    <d v="1990-02-28T00:00:00"/>
    <d v="2015-08-19T00:00:00"/>
    <m/>
    <x v="100"/>
    <n v="70941"/>
    <n v="3"/>
    <n v="3"/>
    <n v="1"/>
    <n v="2"/>
    <n v="2"/>
  </r>
  <r>
    <n v="1238911457"/>
    <x v="0"/>
    <d v="1990-03-03T00:00:00"/>
    <d v="2019-11-30T00:00:00"/>
    <m/>
    <x v="30"/>
    <n v="31200"/>
    <n v="3"/>
    <n v="1"/>
    <n v="2"/>
    <n v="3"/>
    <n v="3"/>
  </r>
  <r>
    <n v="1238911458"/>
    <x v="0"/>
    <d v="1990-03-12T00:00:00"/>
    <d v="2022-01-22T00:00:00"/>
    <m/>
    <x v="97"/>
    <n v="26650"/>
    <n v="3"/>
    <n v="1"/>
    <n v="2"/>
    <n v="2"/>
    <n v="1"/>
  </r>
  <r>
    <n v="1238911459"/>
    <x v="0"/>
    <d v="1990-03-18T00:00:00"/>
    <d v="2013-12-22T00:00:00"/>
    <m/>
    <x v="192"/>
    <n v="86710"/>
    <n v="1"/>
    <n v="1"/>
    <n v="3"/>
    <n v="2"/>
    <n v="2"/>
  </r>
  <r>
    <n v="1238911460"/>
    <x v="1"/>
    <d v="1990-04-04T00:00:00"/>
    <d v="2016-09-25T00:00:00"/>
    <m/>
    <x v="193"/>
    <n v="76759.475000000006"/>
    <n v="3"/>
    <n v="2"/>
    <n v="3"/>
    <n v="3"/>
    <n v="2"/>
  </r>
  <r>
    <n v="1238911461"/>
    <x v="1"/>
    <d v="1990-04-04T00:00:00"/>
    <d v="2016-09-25T00:00:00"/>
    <m/>
    <x v="193"/>
    <n v="76759.475000000006"/>
    <n v="2"/>
    <n v="3"/>
    <n v="3"/>
    <n v="3"/>
    <n v="3"/>
  </r>
  <r>
    <n v="1238911462"/>
    <x v="0"/>
    <d v="1990-04-08T00:00:00"/>
    <d v="2016-04-09T00:00:00"/>
    <m/>
    <x v="85"/>
    <n v="144856.07500000001"/>
    <n v="2"/>
    <n v="2"/>
    <n v="3"/>
    <n v="2"/>
    <n v="2"/>
  </r>
  <r>
    <n v="1238911463"/>
    <x v="0"/>
    <d v="1990-08-18T00:00:00"/>
    <d v="2019-01-14T00:00:00"/>
    <m/>
    <x v="194"/>
    <n v="86768.75"/>
    <n v="3"/>
    <n v="1"/>
    <n v="2"/>
    <n v="2"/>
    <n v="2"/>
  </r>
  <r>
    <n v="1238911464"/>
    <x v="0"/>
    <d v="1990-05-31T00:00:00"/>
    <d v="2014-12-19T00:00:00"/>
    <m/>
    <x v="45"/>
    <n v="57200"/>
    <n v="2"/>
    <n v="3"/>
    <n v="3"/>
    <n v="2"/>
    <n v="2"/>
  </r>
  <r>
    <n v="1238911465"/>
    <x v="0"/>
    <d v="1990-05-25T00:00:00"/>
    <d v="2018-11-22T00:00:00"/>
    <m/>
    <x v="143"/>
    <n v="91806"/>
    <n v="1"/>
    <n v="3"/>
    <n v="1"/>
    <n v="2"/>
    <n v="1"/>
  </r>
  <r>
    <n v="1238911466"/>
    <x v="0"/>
    <d v="1990-04-28T00:00:00"/>
    <d v="2012-10-12T00:00:00"/>
    <d v="2022-02-16T00:00:00"/>
    <x v="195"/>
    <n v="102790.35"/>
    <n v="2"/>
    <n v="3"/>
    <n v="2"/>
    <n v="2"/>
    <n v="2"/>
  </r>
  <r>
    <n v="1238911467"/>
    <x v="1"/>
    <d v="1990-06-04T00:00:00"/>
    <d v="2021-10-29T00:00:00"/>
    <d v="2024-10-23T00:00:00"/>
    <x v="78"/>
    <n v="28600"/>
    <n v="2"/>
    <n v="2"/>
    <n v="3"/>
    <n v="1"/>
    <n v="1"/>
  </r>
  <r>
    <n v="1238911468"/>
    <x v="1"/>
    <d v="1990-12-11T00:00:00"/>
    <d v="2012-06-19T00:00:00"/>
    <m/>
    <x v="196"/>
    <n v="71993.675000000003"/>
    <n v="2"/>
    <n v="1"/>
    <n v="1"/>
    <n v="3"/>
    <n v="3"/>
  </r>
  <r>
    <n v="1238911469"/>
    <x v="0"/>
    <d v="1990-07-03T00:00:00"/>
    <d v="2023-05-27T00:00:00"/>
    <m/>
    <x v="29"/>
    <n v="31200"/>
    <n v="1"/>
    <n v="3"/>
    <n v="1"/>
    <n v="1"/>
    <n v="3"/>
  </r>
  <r>
    <n v="1238911470"/>
    <x v="0"/>
    <d v="1990-10-16T00:00:00"/>
    <d v="2022-01-02T00:00:00"/>
    <m/>
    <x v="60"/>
    <n v="47502.5"/>
    <n v="1"/>
    <n v="2"/>
    <n v="2"/>
    <n v="1"/>
    <n v="2"/>
  </r>
  <r>
    <n v="1238911471"/>
    <x v="0"/>
    <d v="1990-07-23T00:00:00"/>
    <d v="2018-07-24T00:00:00"/>
    <d v="2025-08-20T00:00:00"/>
    <x v="60"/>
    <n v="49997.5"/>
    <n v="2"/>
    <n v="1"/>
    <n v="1"/>
    <n v="2"/>
    <n v="2"/>
  </r>
  <r>
    <n v="1238911472"/>
    <x v="0"/>
    <d v="1990-09-11T00:00:00"/>
    <d v="2015-10-20T00:00:00"/>
    <m/>
    <x v="71"/>
    <n v="75114"/>
    <n v="3"/>
    <n v="3"/>
    <n v="3"/>
    <n v="3"/>
    <n v="2"/>
  </r>
  <r>
    <n v="1238911473"/>
    <x v="1"/>
    <d v="1990-05-09T00:00:00"/>
    <d v="2023-03-15T00:00:00"/>
    <m/>
    <x v="197"/>
    <n v="110000.15"/>
    <n v="2"/>
    <n v="3"/>
    <n v="3"/>
    <n v="3"/>
    <n v="2"/>
  </r>
  <r>
    <n v="1238911474"/>
    <x v="1"/>
    <d v="1990-10-12T00:00:00"/>
    <d v="2014-10-13T00:00:00"/>
    <d v="2021-07-24T00:00:00"/>
    <x v="198"/>
    <n v="86872.175000000003"/>
    <n v="2"/>
    <n v="2"/>
    <n v="1"/>
    <n v="3"/>
    <n v="3"/>
  </r>
  <r>
    <n v="1238911475"/>
    <x v="0"/>
    <d v="1990-06-14T00:00:00"/>
    <d v="2017-01-13T00:00:00"/>
    <d v="2018-08-30T00:00:00"/>
    <x v="199"/>
    <n v="97422"/>
    <n v="2"/>
    <n v="3"/>
    <n v="1"/>
    <n v="3"/>
    <n v="1"/>
  </r>
  <r>
    <n v="1238911476"/>
    <x v="0"/>
    <d v="1990-02-15T00:00:00"/>
    <d v="2023-02-10T00:00:00"/>
    <m/>
    <x v="200"/>
    <n v="81000"/>
    <n v="1"/>
    <n v="2"/>
    <n v="2"/>
    <n v="3"/>
    <n v="2"/>
  </r>
  <r>
    <n v="1238911477"/>
    <x v="1"/>
    <d v="1990-10-18T00:00:00"/>
    <d v="2022-04-06T00:00:00"/>
    <m/>
    <x v="201"/>
    <n v="81394.625"/>
    <n v="3"/>
    <n v="3"/>
    <n v="1"/>
    <n v="2"/>
    <n v="1"/>
  </r>
  <r>
    <n v="1238911478"/>
    <x v="0"/>
    <d v="1990-06-30T00:00:00"/>
    <d v="2022-11-02T00:00:00"/>
    <m/>
    <x v="202"/>
    <n v="81250"/>
    <n v="1"/>
    <n v="3"/>
    <n v="1"/>
    <n v="3"/>
    <n v="1"/>
  </r>
  <r>
    <n v="1238911479"/>
    <x v="0"/>
    <d v="1990-11-09T00:00:00"/>
    <d v="2023-04-19T00:00:00"/>
    <d v="2023-05-11T00:00:00"/>
    <x v="120"/>
    <n v="70583.75"/>
    <n v="1"/>
    <n v="2"/>
    <n v="2"/>
    <n v="3"/>
    <n v="2"/>
  </r>
  <r>
    <n v="1238911480"/>
    <x v="0"/>
    <d v="1990-07-30T00:00:00"/>
    <d v="2023-04-19T00:00:00"/>
    <m/>
    <x v="120"/>
    <n v="70583.75"/>
    <n v="2"/>
    <n v="1"/>
    <n v="3"/>
    <n v="1"/>
    <n v="1"/>
  </r>
  <r>
    <n v="1238911481"/>
    <x v="0"/>
    <d v="1990-11-10T00:00:00"/>
    <d v="2012-11-24T00:00:00"/>
    <m/>
    <x v="203"/>
    <n v="141625"/>
    <n v="2"/>
    <n v="2"/>
    <n v="3"/>
    <n v="3"/>
    <n v="2"/>
  </r>
  <r>
    <n v="1238911482"/>
    <x v="0"/>
    <d v="1990-12-09T00:00:00"/>
    <d v="2018-02-16T00:00:00"/>
    <m/>
    <x v="143"/>
    <n v="99127.5"/>
    <n v="1"/>
    <n v="2"/>
    <n v="2"/>
    <n v="1"/>
    <n v="1"/>
  </r>
  <r>
    <n v="1238911483"/>
    <x v="1"/>
    <d v="1990-12-17T00:00:00"/>
    <d v="2018-03-24T00:00:00"/>
    <m/>
    <x v="34"/>
    <n v="52500"/>
    <n v="3"/>
    <n v="3"/>
    <n v="3"/>
    <n v="3"/>
    <n v="1"/>
  </r>
  <r>
    <n v="1238911484"/>
    <x v="1"/>
    <d v="1990-05-30T00:00:00"/>
    <d v="2023-05-09T00:00:00"/>
    <m/>
    <x v="34"/>
    <n v="52500"/>
    <n v="2"/>
    <n v="1"/>
    <n v="1"/>
    <n v="2"/>
    <n v="2"/>
  </r>
  <r>
    <n v="1238911485"/>
    <x v="0"/>
    <d v="1990-12-30T00:00:00"/>
    <d v="2016-09-25T00:00:00"/>
    <d v="2024-07-10T00:00:00"/>
    <x v="204"/>
    <n v="62946"/>
    <n v="3"/>
    <n v="1"/>
    <n v="1"/>
    <n v="1"/>
    <n v="2"/>
  </r>
  <r>
    <n v="1238911486"/>
    <x v="0"/>
    <d v="1991-01-17T00:00:00"/>
    <d v="2022-06-03T00:00:00"/>
    <m/>
    <x v="205"/>
    <n v="83459.974999999991"/>
    <n v="2"/>
    <n v="2"/>
    <n v="1"/>
    <n v="1"/>
    <n v="3"/>
  </r>
  <r>
    <n v="1238911487"/>
    <x v="0"/>
    <d v="1991-01-26T00:00:00"/>
    <d v="2019-04-26T00:00:00"/>
    <m/>
    <x v="49"/>
    <n v="91800.15"/>
    <n v="3"/>
    <n v="1"/>
    <n v="3"/>
    <n v="3"/>
    <n v="1"/>
  </r>
  <r>
    <n v="1238911488"/>
    <x v="1"/>
    <d v="1991-02-01T00:00:00"/>
    <d v="2016-12-11T00:00:00"/>
    <d v="2022-09-17T00:00:00"/>
    <x v="206"/>
    <n v="78000"/>
    <n v="3"/>
    <n v="2"/>
    <n v="1"/>
    <n v="2"/>
    <n v="2"/>
  </r>
  <r>
    <n v="1238911489"/>
    <x v="1"/>
    <d v="1991-05-12T00:00:00"/>
    <d v="2015-07-13T00:00:00"/>
    <m/>
    <x v="0"/>
    <n v="31200"/>
    <n v="3"/>
    <n v="1"/>
    <n v="1"/>
    <n v="1"/>
    <n v="2"/>
  </r>
  <r>
    <n v="1238911490"/>
    <x v="0"/>
    <d v="1991-02-03T00:00:00"/>
    <d v="2020-08-02T00:00:00"/>
    <m/>
    <x v="122"/>
    <n v="79534"/>
    <n v="2"/>
    <n v="3"/>
    <n v="2"/>
    <n v="2"/>
    <n v="1"/>
  </r>
  <r>
    <n v="1238911491"/>
    <x v="0"/>
    <d v="1991-03-15T00:00:00"/>
    <d v="2018-05-23T00:00:00"/>
    <m/>
    <x v="207"/>
    <n v="118978.6"/>
    <n v="3"/>
    <n v="2"/>
    <n v="2"/>
    <n v="2"/>
    <n v="2"/>
  </r>
  <r>
    <n v="1238911492"/>
    <x v="1"/>
    <d v="1991-03-18T00:00:00"/>
    <d v="2019-11-11T00:00:00"/>
    <m/>
    <x v="30"/>
    <n v="28600"/>
    <n v="2"/>
    <n v="2"/>
    <n v="2"/>
    <n v="1"/>
    <n v="1"/>
  </r>
  <r>
    <n v="1238911493"/>
    <x v="0"/>
    <d v="1991-03-29T00:00:00"/>
    <d v="2014-07-24T00:00:00"/>
    <d v="2015-06-07T00:00:00"/>
    <x v="208"/>
    <n v="58494.475000000006"/>
    <n v="3"/>
    <n v="1"/>
    <n v="2"/>
    <n v="3"/>
    <n v="1"/>
  </r>
  <r>
    <n v="1238911494"/>
    <x v="1"/>
    <d v="1991-04-02T00:00:00"/>
    <d v="2022-09-03T00:00:00"/>
    <d v="2025-04-29T00:00:00"/>
    <x v="143"/>
    <n v="89963.75"/>
    <n v="1"/>
    <n v="3"/>
    <n v="2"/>
    <n v="2"/>
    <n v="2"/>
  </r>
  <r>
    <n v="1238911495"/>
    <x v="0"/>
    <d v="1991-04-16T00:00:00"/>
    <d v="2013-05-06T00:00:00"/>
    <m/>
    <x v="115"/>
    <n v="135995.27499999999"/>
    <n v="2"/>
    <n v="2"/>
    <n v="3"/>
    <n v="2"/>
    <n v="2"/>
  </r>
  <r>
    <n v="1238911496"/>
    <x v="0"/>
    <d v="1991-05-08T00:00:00"/>
    <d v="2019-09-12T00:00:00"/>
    <m/>
    <x v="209"/>
    <n v="87974.9"/>
    <n v="1"/>
    <n v="2"/>
    <n v="2"/>
    <n v="3"/>
    <n v="2"/>
  </r>
  <r>
    <n v="1238911497"/>
    <x v="1"/>
    <d v="1991-11-29T00:00:00"/>
    <d v="2014-07-15T00:00:00"/>
    <d v="2022-01-26T00:00:00"/>
    <x v="54"/>
    <n v="64142"/>
    <n v="1"/>
    <n v="1"/>
    <n v="2"/>
    <n v="1"/>
    <n v="2"/>
  </r>
  <r>
    <n v="1238911498"/>
    <x v="0"/>
    <d v="1991-05-18T00:00:00"/>
    <d v="2019-01-25T00:00:00"/>
    <m/>
    <x v="210"/>
    <n v="79890.200000000012"/>
    <n v="3"/>
    <n v="3"/>
    <n v="3"/>
    <n v="1"/>
    <n v="2"/>
  </r>
  <r>
    <n v="1238911499"/>
    <x v="1"/>
    <d v="1991-06-24T00:00:00"/>
    <d v="2023-03-29T00:00:00"/>
    <m/>
    <x v="211"/>
    <n v="75000"/>
    <n v="1"/>
    <n v="3"/>
    <n v="1"/>
    <n v="1"/>
    <n v="1"/>
  </r>
  <r>
    <n v="1238911500"/>
    <x v="0"/>
    <d v="1991-07-03T00:00:00"/>
    <d v="2021-05-07T00:00:00"/>
    <d v="2025-08-01T00:00:00"/>
    <x v="124"/>
    <n v="85461.025000000009"/>
    <n v="1"/>
    <n v="3"/>
    <n v="2"/>
    <n v="3"/>
    <n v="3"/>
  </r>
  <r>
    <n v="1238911501"/>
    <x v="1"/>
    <d v="1991-07-03T00:00:00"/>
    <d v="2020-04-23T00:00:00"/>
    <m/>
    <x v="212"/>
    <n v="68750"/>
    <n v="3"/>
    <n v="3"/>
    <n v="3"/>
    <n v="2"/>
    <n v="1"/>
  </r>
  <r>
    <n v="1238911502"/>
    <x v="0"/>
    <d v="1991-07-05T00:00:00"/>
    <d v="2023-10-13T00:00:00"/>
    <m/>
    <x v="175"/>
    <n v="53300"/>
    <n v="2"/>
    <n v="1"/>
    <n v="1"/>
    <n v="1"/>
    <n v="2"/>
  </r>
  <r>
    <n v="1238911503"/>
    <x v="0"/>
    <d v="1991-07-16T00:00:00"/>
    <d v="2014-08-09T00:00:00"/>
    <m/>
    <x v="213"/>
    <n v="61022"/>
    <n v="2"/>
    <n v="2"/>
    <n v="1"/>
    <n v="3"/>
    <n v="1"/>
  </r>
  <r>
    <n v="1238911504"/>
    <x v="1"/>
    <d v="1991-07-23T00:00:00"/>
    <d v="2013-09-10T00:00:00"/>
    <m/>
    <x v="127"/>
    <n v="80314"/>
    <n v="3"/>
    <n v="3"/>
    <n v="3"/>
    <n v="2"/>
    <n v="2"/>
  </r>
  <r>
    <n v="1238911505"/>
    <x v="1"/>
    <d v="1991-02-28T00:00:00"/>
    <d v="2018-11-05T00:00:00"/>
    <m/>
    <x v="127"/>
    <n v="80314"/>
    <n v="3"/>
    <n v="2"/>
    <n v="1"/>
    <n v="3"/>
    <n v="1"/>
  </r>
  <r>
    <n v="1238911506"/>
    <x v="0"/>
    <d v="1987-07-28T00:00:00"/>
    <d v="2018-05-05T00:00:00"/>
    <d v="2022-01-08T00:00:00"/>
    <x v="214"/>
    <n v="65234"/>
    <n v="1"/>
    <n v="2"/>
    <n v="2"/>
    <n v="2"/>
    <n v="3"/>
  </r>
  <r>
    <n v="1238911507"/>
    <x v="0"/>
    <d v="1991-08-04T00:00:00"/>
    <d v="2020-08-19T00:00:00"/>
    <m/>
    <x v="215"/>
    <n v="49725"/>
    <n v="3"/>
    <n v="1"/>
    <n v="1"/>
    <n v="2"/>
    <n v="2"/>
  </r>
  <r>
    <n v="1238911508"/>
    <x v="1"/>
    <d v="1995-08-04T00:00:00"/>
    <d v="2022-08-20T00:00:00"/>
    <d v="2024-07-27T00:00:00"/>
    <x v="215"/>
    <n v="49725"/>
    <n v="1"/>
    <n v="3"/>
    <n v="3"/>
    <n v="1"/>
    <n v="2"/>
  </r>
  <r>
    <n v="1238911509"/>
    <x v="0"/>
    <d v="1991-08-11T00:00:00"/>
    <d v="2017-03-18T00:00:00"/>
    <m/>
    <x v="216"/>
    <n v="82342"/>
    <n v="1"/>
    <n v="3"/>
    <n v="3"/>
    <n v="2"/>
    <n v="2"/>
  </r>
  <r>
    <n v="1238911510"/>
    <x v="0"/>
    <d v="1991-08-15T00:00:00"/>
    <d v="2012-02-09T00:00:00"/>
    <m/>
    <x v="58"/>
    <n v="66880.125"/>
    <n v="2"/>
    <n v="2"/>
    <n v="2"/>
    <n v="1"/>
    <n v="1"/>
  </r>
  <r>
    <n v="1238911511"/>
    <x v="0"/>
    <d v="1991-09-06T00:00:00"/>
    <d v="2013-09-07T00:00:00"/>
    <d v="2020-06-10T00:00:00"/>
    <x v="143"/>
    <n v="96250"/>
    <n v="3"/>
    <n v="2"/>
    <n v="2"/>
    <n v="3"/>
    <n v="3"/>
  </r>
  <r>
    <n v="1238911512"/>
    <x v="1"/>
    <d v="1991-09-13T00:00:00"/>
    <d v="2013-08-08T00:00:00"/>
    <d v="2024-07-11T00:00:00"/>
    <x v="120"/>
    <n v="57382"/>
    <n v="3"/>
    <n v="2"/>
    <n v="2"/>
    <n v="3"/>
    <n v="2"/>
  </r>
  <r>
    <n v="1238911513"/>
    <x v="0"/>
    <d v="1991-09-14T00:00:00"/>
    <d v="2022-02-14T00:00:00"/>
    <m/>
    <x v="217"/>
    <n v="66300"/>
    <n v="2"/>
    <n v="2"/>
    <n v="3"/>
    <n v="3"/>
    <n v="2"/>
  </r>
  <r>
    <n v="1238911514"/>
    <x v="0"/>
    <d v="1991-09-22T00:00:00"/>
    <d v="2020-04-13T00:00:00"/>
    <m/>
    <x v="218"/>
    <n v="96252"/>
    <n v="1"/>
    <n v="3"/>
    <n v="1"/>
    <n v="1"/>
    <n v="1"/>
  </r>
  <r>
    <n v="1238911515"/>
    <x v="1"/>
    <d v="1991-09-27T00:00:00"/>
    <d v="2017-07-25T00:00:00"/>
    <m/>
    <x v="219"/>
    <n v="52494"/>
    <n v="1"/>
    <n v="2"/>
    <n v="1"/>
    <n v="3"/>
    <n v="2"/>
  </r>
  <r>
    <n v="1238911516"/>
    <x v="1"/>
    <d v="1991-09-30T00:00:00"/>
    <d v="2018-08-28T00:00:00"/>
    <m/>
    <x v="73"/>
    <n v="30212"/>
    <n v="1"/>
    <n v="1"/>
    <n v="2"/>
    <n v="3"/>
    <n v="2"/>
  </r>
  <r>
    <n v="1238911517"/>
    <x v="1"/>
    <d v="1991-08-10T00:00:00"/>
    <d v="2016-10-25T00:00:00"/>
    <d v="2018-08-28T00:00:00"/>
    <x v="73"/>
    <n v="30212"/>
    <n v="1"/>
    <n v="2"/>
    <n v="3"/>
    <n v="1"/>
    <n v="1"/>
  </r>
  <r>
    <n v="1238911518"/>
    <x v="1"/>
    <d v="1991-10-04T00:00:00"/>
    <d v="2022-03-30T00:00:00"/>
    <m/>
    <x v="220"/>
    <n v="69781.25"/>
    <n v="2"/>
    <n v="1"/>
    <n v="2"/>
    <n v="2"/>
    <n v="3"/>
  </r>
  <r>
    <n v="1238911519"/>
    <x v="1"/>
    <d v="1991-10-25T00:00:00"/>
    <d v="2017-01-07T00:00:00"/>
    <m/>
    <x v="66"/>
    <n v="45500"/>
    <n v="2"/>
    <n v="3"/>
    <n v="2"/>
    <n v="2"/>
    <n v="3"/>
  </r>
  <r>
    <n v="1238911520"/>
    <x v="0"/>
    <d v="1991-10-28T00:00:00"/>
    <d v="2018-12-28T00:00:00"/>
    <m/>
    <x v="122"/>
    <n v="82500"/>
    <n v="2"/>
    <n v="3"/>
    <n v="3"/>
    <n v="3"/>
    <n v="2"/>
  </r>
  <r>
    <n v="1238911521"/>
    <x v="0"/>
    <d v="1991-11-01T00:00:00"/>
    <d v="2017-05-05T00:00:00"/>
    <m/>
    <x v="49"/>
    <n v="97479.2"/>
    <n v="3"/>
    <n v="2"/>
    <n v="3"/>
    <n v="3"/>
    <n v="3"/>
  </r>
  <r>
    <n v="1238911522"/>
    <x v="0"/>
    <d v="1991-11-20T00:00:00"/>
    <d v="2015-02-18T00:00:00"/>
    <m/>
    <x v="221"/>
    <n v="81250"/>
    <n v="2"/>
    <n v="2"/>
    <n v="2"/>
    <n v="3"/>
    <n v="2"/>
  </r>
  <r>
    <n v="1238911523"/>
    <x v="1"/>
    <d v="1991-11-25T00:00:00"/>
    <d v="2014-10-17T00:00:00"/>
    <m/>
    <x v="222"/>
    <n v="73631.350000000006"/>
    <n v="1"/>
    <n v="2"/>
    <n v="1"/>
    <n v="3"/>
    <n v="3"/>
  </r>
  <r>
    <n v="1238911524"/>
    <x v="1"/>
    <d v="1991-12-05T00:00:00"/>
    <d v="2023-09-20T00:00:00"/>
    <m/>
    <x v="223"/>
    <n v="75946"/>
    <n v="2"/>
    <n v="2"/>
    <n v="1"/>
    <n v="3"/>
    <n v="2"/>
  </r>
  <r>
    <n v="1238911525"/>
    <x v="0"/>
    <d v="1991-12-06T00:00:00"/>
    <d v="2016-07-03T00:00:00"/>
    <m/>
    <x v="224"/>
    <n v="75113.75"/>
    <n v="1"/>
    <n v="2"/>
    <n v="2"/>
    <n v="3"/>
    <n v="3"/>
  </r>
  <r>
    <n v="1238911526"/>
    <x v="1"/>
    <d v="1991-12-25T00:00:00"/>
    <d v="2014-09-14T00:00:00"/>
    <m/>
    <x v="30"/>
    <n v="37351.25"/>
    <n v="3"/>
    <n v="3"/>
    <n v="2"/>
    <n v="2"/>
    <n v="3"/>
  </r>
  <r>
    <n v="1238911527"/>
    <x v="1"/>
    <d v="1992-03-30T00:00:00"/>
    <d v="2022-09-14T00:00:00"/>
    <m/>
    <x v="128"/>
    <n v="52520"/>
    <n v="3"/>
    <n v="3"/>
    <n v="3"/>
    <n v="3"/>
    <n v="2"/>
  </r>
  <r>
    <n v="1238911528"/>
    <x v="1"/>
    <d v="1988-01-22T00:00:00"/>
    <d v="2012-05-07T00:00:00"/>
    <d v="2022-12-30T00:00:00"/>
    <x v="225"/>
    <n v="105948.375"/>
    <n v="2"/>
    <n v="2"/>
    <n v="3"/>
    <n v="2"/>
    <n v="3"/>
  </r>
  <r>
    <n v="1238911529"/>
    <x v="0"/>
    <d v="1992-01-24T00:00:00"/>
    <d v="2017-04-21T00:00:00"/>
    <m/>
    <x v="60"/>
    <n v="49997.5"/>
    <n v="2"/>
    <n v="1"/>
    <n v="2"/>
    <n v="3"/>
    <n v="1"/>
  </r>
  <r>
    <n v="1238911530"/>
    <x v="0"/>
    <d v="1992-05-30T00:00:00"/>
    <d v="2016-10-29T00:00:00"/>
    <m/>
    <x v="122"/>
    <n v="97838"/>
    <n v="2"/>
    <n v="2"/>
    <n v="3"/>
    <n v="3"/>
    <n v="1"/>
  </r>
  <r>
    <n v="1238911531"/>
    <x v="0"/>
    <d v="1992-01-24T00:00:00"/>
    <d v="2017-04-16T00:00:00"/>
    <m/>
    <x v="60"/>
    <n v="49997.5"/>
    <n v="2"/>
    <n v="1"/>
    <n v="1"/>
    <n v="3"/>
    <n v="1"/>
  </r>
  <r>
    <n v="1238911532"/>
    <x v="0"/>
    <d v="1992-01-26T00:00:00"/>
    <d v="2014-04-21T00:00:00"/>
    <m/>
    <x v="104"/>
    <n v="48948.387499999997"/>
    <n v="2"/>
    <n v="1"/>
    <n v="2"/>
    <n v="3"/>
    <n v="3"/>
  </r>
  <r>
    <n v="1238911533"/>
    <x v="1"/>
    <d v="1992-02-09T00:00:00"/>
    <d v="2014-12-22T00:00:00"/>
    <m/>
    <x v="226"/>
    <n v="87597.900000000009"/>
    <n v="1"/>
    <n v="3"/>
    <n v="3"/>
    <n v="1"/>
    <n v="2"/>
  </r>
  <r>
    <n v="1238911534"/>
    <x v="0"/>
    <d v="1988-12-30T00:00:00"/>
    <d v="2022-11-08T00:00:00"/>
    <m/>
    <x v="122"/>
    <n v="79924"/>
    <n v="2"/>
    <n v="2"/>
    <n v="2"/>
    <n v="2"/>
    <n v="1"/>
  </r>
  <r>
    <n v="1238911535"/>
    <x v="0"/>
    <d v="1992-02-23T00:00:00"/>
    <d v="2022-11-08T00:00:00"/>
    <d v="2023-09-29T00:00:00"/>
    <x v="122"/>
    <n v="79924"/>
    <n v="3"/>
    <n v="3"/>
    <n v="1"/>
    <n v="3"/>
    <n v="2"/>
  </r>
  <r>
    <n v="1238911536"/>
    <x v="0"/>
    <d v="1992-03-26T00:00:00"/>
    <d v="2021-05-25T00:00:00"/>
    <m/>
    <x v="227"/>
    <n v="60445"/>
    <n v="2"/>
    <n v="3"/>
    <n v="3"/>
    <n v="1"/>
    <n v="2"/>
  </r>
  <r>
    <n v="1238911537"/>
    <x v="1"/>
    <d v="1992-03-30T00:00:00"/>
    <d v="2013-12-18T00:00:00"/>
    <m/>
    <x v="228"/>
    <n v="49296"/>
    <n v="1"/>
    <n v="3"/>
    <n v="1"/>
    <n v="2"/>
    <n v="2"/>
  </r>
  <r>
    <n v="1238911538"/>
    <x v="1"/>
    <d v="1996-01-14T00:00:00"/>
    <d v="2013-12-18T00:00:00"/>
    <m/>
    <x v="228"/>
    <n v="49296"/>
    <n v="2"/>
    <n v="1"/>
    <n v="1"/>
    <n v="3"/>
    <n v="2"/>
  </r>
  <r>
    <n v="1238911539"/>
    <x v="1"/>
    <d v="1992-04-14T00:00:00"/>
    <d v="2019-12-30T00:00:00"/>
    <d v="2021-07-21T00:00:00"/>
    <x v="229"/>
    <n v="77508.599999999991"/>
    <n v="1"/>
    <n v="1"/>
    <n v="1"/>
    <n v="1"/>
    <n v="3"/>
  </r>
  <r>
    <n v="1238911540"/>
    <x v="0"/>
    <d v="1992-04-22T00:00:00"/>
    <d v="2017-07-09T00:00:00"/>
    <m/>
    <x v="60"/>
    <n v="49997.5"/>
    <n v="3"/>
    <n v="1"/>
    <n v="1"/>
    <n v="1"/>
    <n v="2"/>
  </r>
  <r>
    <n v="1238911541"/>
    <x v="1"/>
    <d v="1992-05-06T00:00:00"/>
    <d v="2016-08-30T00:00:00"/>
    <m/>
    <x v="82"/>
    <n v="32292"/>
    <n v="3"/>
    <n v="1"/>
    <n v="1"/>
    <n v="2"/>
    <n v="3"/>
  </r>
  <r>
    <n v="1238911542"/>
    <x v="1"/>
    <d v="1989-09-29T00:00:00"/>
    <d v="2020-10-26T00:00:00"/>
    <m/>
    <x v="82"/>
    <n v="32292"/>
    <n v="1"/>
    <n v="1"/>
    <n v="1"/>
    <n v="2"/>
    <n v="2"/>
  </r>
  <r>
    <n v="1238911543"/>
    <x v="0"/>
    <d v="1992-05-07T00:00:00"/>
    <d v="2020-12-25T00:00:00"/>
    <m/>
    <x v="230"/>
    <n v="51740"/>
    <n v="3"/>
    <n v="1"/>
    <n v="3"/>
    <n v="1"/>
    <n v="3"/>
  </r>
  <r>
    <n v="1238911544"/>
    <x v="0"/>
    <d v="1992-05-29T00:00:00"/>
    <d v="2023-07-05T00:00:00"/>
    <m/>
    <x v="173"/>
    <n v="81250"/>
    <n v="1"/>
    <n v="2"/>
    <n v="3"/>
    <n v="1"/>
    <n v="3"/>
  </r>
  <r>
    <n v="1238911545"/>
    <x v="0"/>
    <d v="1992-06-24T00:00:00"/>
    <d v="2014-05-20T00:00:00"/>
    <m/>
    <x v="122"/>
    <n v="90750"/>
    <n v="2"/>
    <n v="3"/>
    <n v="3"/>
    <n v="1"/>
    <n v="1"/>
  </r>
  <r>
    <n v="1238911546"/>
    <x v="0"/>
    <d v="1989-09-30T00:00:00"/>
    <d v="2016-03-13T00:00:00"/>
    <m/>
    <x v="124"/>
    <n v="89223.875"/>
    <n v="3"/>
    <n v="1"/>
    <n v="2"/>
    <n v="3"/>
    <n v="3"/>
  </r>
  <r>
    <n v="1238911547"/>
    <x v="0"/>
    <d v="1992-07-01T00:00:00"/>
    <d v="2016-12-27T00:00:00"/>
    <m/>
    <x v="124"/>
    <n v="89223.875"/>
    <n v="3"/>
    <n v="1"/>
    <n v="2"/>
    <n v="3"/>
    <n v="2"/>
  </r>
  <r>
    <n v="1238911548"/>
    <x v="1"/>
    <d v="1992-07-05T00:00:00"/>
    <d v="2021-02-24T00:00:00"/>
    <d v="2021-08-11T00:00:00"/>
    <x v="231"/>
    <n v="80162.5"/>
    <n v="1"/>
    <n v="1"/>
    <n v="2"/>
    <n v="2"/>
    <n v="1"/>
  </r>
  <r>
    <n v="1238911549"/>
    <x v="0"/>
    <d v="1992-07-19T00:00:00"/>
    <d v="2017-08-10T00:00:00"/>
    <m/>
    <x v="232"/>
    <n v="59678.125"/>
    <n v="2"/>
    <n v="3"/>
    <n v="1"/>
    <n v="2"/>
    <n v="1"/>
  </r>
  <r>
    <n v="1238911550"/>
    <x v="1"/>
    <d v="1992-09-01T00:00:00"/>
    <d v="2020-09-09T00:00:00"/>
    <m/>
    <x v="206"/>
    <n v="94484"/>
    <n v="1"/>
    <n v="1"/>
    <n v="1"/>
    <n v="2"/>
    <n v="2"/>
  </r>
  <r>
    <n v="1238911551"/>
    <x v="1"/>
    <d v="1995-01-24T00:00:00"/>
    <d v="2020-09-09T00:00:00"/>
    <m/>
    <x v="206"/>
    <n v="94484"/>
    <n v="2"/>
    <n v="3"/>
    <n v="3"/>
    <n v="3"/>
    <n v="1"/>
  </r>
  <r>
    <n v="1238911552"/>
    <x v="1"/>
    <d v="1992-10-04T00:00:00"/>
    <d v="2021-07-13T00:00:00"/>
    <m/>
    <x v="233"/>
    <n v="43732.5"/>
    <n v="2"/>
    <n v="2"/>
    <n v="2"/>
    <n v="1"/>
    <n v="2"/>
  </r>
  <r>
    <n v="1238911553"/>
    <x v="0"/>
    <d v="1992-10-11T00:00:00"/>
    <d v="2016-12-25T00:00:00"/>
    <m/>
    <x v="44"/>
    <n v="32343.75"/>
    <n v="1"/>
    <n v="1"/>
    <n v="2"/>
    <n v="1"/>
    <n v="3"/>
  </r>
  <r>
    <n v="1238911554"/>
    <x v="0"/>
    <d v="1994-01-02T00:00:00"/>
    <d v="2019-12-29T00:00:00"/>
    <m/>
    <x v="44"/>
    <n v="32343.75"/>
    <n v="1"/>
    <n v="2"/>
    <n v="2"/>
    <n v="2"/>
    <n v="1"/>
  </r>
  <r>
    <n v="1238911555"/>
    <x v="0"/>
    <d v="1992-10-27T00:00:00"/>
    <d v="2020-07-11T00:00:00"/>
    <m/>
    <x v="143"/>
    <n v="91884"/>
    <n v="2"/>
    <n v="3"/>
    <n v="1"/>
    <n v="1"/>
    <n v="1"/>
  </r>
  <r>
    <n v="1238911556"/>
    <x v="0"/>
    <d v="1992-11-07T00:00:00"/>
    <d v="2018-10-24T00:00:00"/>
    <m/>
    <x v="86"/>
    <n v="99137.35"/>
    <n v="2"/>
    <n v="3"/>
    <n v="1"/>
    <n v="3"/>
    <n v="2"/>
  </r>
  <r>
    <n v="1238911557"/>
    <x v="1"/>
    <d v="1992-11-28T00:00:00"/>
    <d v="2015-10-20T00:00:00"/>
    <m/>
    <x v="34"/>
    <n v="61122.1"/>
    <n v="3"/>
    <n v="2"/>
    <n v="2"/>
    <n v="3"/>
    <n v="3"/>
  </r>
  <r>
    <n v="1238911558"/>
    <x v="0"/>
    <d v="1992-12-07T00:00:00"/>
    <d v="2013-12-18T00:00:00"/>
    <m/>
    <x v="234"/>
    <n v="68750"/>
    <n v="3"/>
    <n v="3"/>
    <n v="2"/>
    <n v="2"/>
    <n v="1"/>
  </r>
  <r>
    <n v="1238911559"/>
    <x v="1"/>
    <d v="1995-12-31T00:00:00"/>
    <d v="2024-12-17T00:00:00"/>
    <m/>
    <x v="234"/>
    <n v="68750"/>
    <n v="2"/>
    <n v="2"/>
    <n v="3"/>
    <n v="3"/>
    <n v="2"/>
  </r>
  <r>
    <n v="1238911560"/>
    <x v="1"/>
    <d v="1992-12-18T00:00:00"/>
    <d v="2016-06-15T00:00:00"/>
    <m/>
    <x v="235"/>
    <n v="70097.299999999988"/>
    <n v="3"/>
    <n v="1"/>
    <n v="1"/>
    <n v="2"/>
    <n v="3"/>
  </r>
  <r>
    <n v="1238911561"/>
    <x v="0"/>
    <d v="1993-01-12T00:00:00"/>
    <d v="2012-08-03T00:00:00"/>
    <m/>
    <x v="177"/>
    <n v="80886"/>
    <n v="2"/>
    <n v="3"/>
    <n v="2"/>
    <n v="1"/>
    <n v="3"/>
  </r>
  <r>
    <n v="1238911562"/>
    <x v="0"/>
    <d v="1993-01-17T00:00:00"/>
    <d v="2012-06-28T00:00:00"/>
    <m/>
    <x v="236"/>
    <n v="60242"/>
    <n v="3"/>
    <n v="1"/>
    <n v="2"/>
    <n v="2"/>
    <n v="1"/>
  </r>
  <r>
    <n v="1238911563"/>
    <x v="0"/>
    <d v="1993-04-25T00:00:00"/>
    <d v="2016-02-24T00:00:00"/>
    <d v="2023-10-18T00:00:00"/>
    <x v="237"/>
    <n v="51064"/>
    <n v="3"/>
    <n v="1"/>
    <n v="2"/>
    <n v="2"/>
    <n v="3"/>
  </r>
  <r>
    <n v="1238911564"/>
    <x v="1"/>
    <d v="1993-05-05T00:00:00"/>
    <d v="2020-07-02T00:00:00"/>
    <m/>
    <x v="202"/>
    <n v="67856.25"/>
    <n v="1"/>
    <n v="3"/>
    <n v="3"/>
    <n v="2"/>
    <n v="3"/>
  </r>
  <r>
    <n v="1238911565"/>
    <x v="1"/>
    <d v="1993-05-10T00:00:00"/>
    <d v="2019-01-08T00:00:00"/>
    <d v="2023-09-20T00:00:00"/>
    <x v="238"/>
    <n v="61204"/>
    <n v="3"/>
    <n v="3"/>
    <n v="2"/>
    <n v="3"/>
    <n v="2"/>
  </r>
  <r>
    <n v="1238911566"/>
    <x v="0"/>
    <d v="1993-05-20T00:00:00"/>
    <d v="2020-12-13T00:00:00"/>
    <m/>
    <x v="122"/>
    <n v="87500"/>
    <n v="2"/>
    <n v="1"/>
    <n v="3"/>
    <n v="2"/>
    <n v="2"/>
  </r>
  <r>
    <n v="1238911567"/>
    <x v="0"/>
    <d v="1993-06-16T00:00:00"/>
    <d v="2019-08-20T00:00:00"/>
    <d v="2025-04-09T00:00:00"/>
    <x v="122"/>
    <n v="90000"/>
    <n v="3"/>
    <n v="1"/>
    <n v="3"/>
    <n v="2"/>
    <n v="2"/>
  </r>
  <r>
    <n v="1238911568"/>
    <x v="1"/>
    <d v="1993-06-20T00:00:00"/>
    <d v="2022-06-29T00:00:00"/>
    <m/>
    <x v="239"/>
    <n v="75237.5"/>
    <n v="3"/>
    <n v="1"/>
    <n v="1"/>
    <n v="2"/>
    <n v="2"/>
  </r>
  <r>
    <n v="1238911569"/>
    <x v="1"/>
    <d v="1993-06-26T00:00:00"/>
    <d v="2021-10-27T00:00:00"/>
    <m/>
    <x v="240"/>
    <n v="56250"/>
    <n v="2"/>
    <n v="3"/>
    <n v="3"/>
    <n v="1"/>
    <n v="3"/>
  </r>
  <r>
    <n v="1238911570"/>
    <x v="0"/>
    <d v="1993-07-20T00:00:00"/>
    <d v="2015-05-20T00:00:00"/>
    <m/>
    <x v="60"/>
    <n v="50239.95"/>
    <n v="3"/>
    <n v="2"/>
    <n v="1"/>
    <n v="1"/>
    <n v="3"/>
  </r>
  <r>
    <n v="1238911571"/>
    <x v="1"/>
    <d v="1993-07-28T00:00:00"/>
    <d v="2015-09-04T00:00:00"/>
    <m/>
    <x v="49"/>
    <n v="87500"/>
    <n v="3"/>
    <n v="2"/>
    <n v="3"/>
    <n v="3"/>
    <n v="3"/>
  </r>
  <r>
    <n v="1238911572"/>
    <x v="1"/>
    <d v="1993-07-31T00:00:00"/>
    <d v="2023-02-08T00:00:00"/>
    <m/>
    <x v="241"/>
    <n v="68750"/>
    <n v="3"/>
    <n v="1"/>
    <n v="2"/>
    <n v="3"/>
    <n v="3"/>
  </r>
  <r>
    <n v="1238911573"/>
    <x v="0"/>
    <d v="1993-08-14T00:00:00"/>
    <d v="2018-03-29T00:00:00"/>
    <m/>
    <x v="242"/>
    <n v="107000.075"/>
    <n v="2"/>
    <n v="2"/>
    <n v="3"/>
    <n v="2"/>
    <n v="3"/>
  </r>
  <r>
    <n v="1238911574"/>
    <x v="0"/>
    <d v="1993-10-07T00:00:00"/>
    <d v="2013-09-22T00:00:00"/>
    <m/>
    <x v="243"/>
    <n v="90000"/>
    <n v="1"/>
    <n v="2"/>
    <n v="2"/>
    <n v="2"/>
    <n v="3"/>
  </r>
  <r>
    <n v="1238911575"/>
    <x v="0"/>
    <d v="1993-10-17T00:00:00"/>
    <d v="2014-11-09T00:00:00"/>
    <m/>
    <x v="244"/>
    <n v="91428.75"/>
    <n v="3"/>
    <n v="2"/>
    <n v="2"/>
    <n v="3"/>
    <n v="1"/>
  </r>
  <r>
    <n v="1238911576"/>
    <x v="0"/>
    <d v="1993-10-21T00:00:00"/>
    <d v="2020-03-08T00:00:00"/>
    <m/>
    <x v="143"/>
    <n v="90012.5"/>
    <n v="2"/>
    <n v="2"/>
    <n v="2"/>
    <n v="2"/>
    <n v="2"/>
  </r>
  <r>
    <n v="1238911577"/>
    <x v="1"/>
    <d v="1993-10-23T00:00:00"/>
    <d v="2016-04-27T00:00:00"/>
    <m/>
    <x v="49"/>
    <n v="73992.100000000006"/>
    <n v="2"/>
    <n v="2"/>
    <n v="2"/>
    <n v="3"/>
    <n v="3"/>
  </r>
  <r>
    <n v="1238911578"/>
    <x v="1"/>
    <d v="1993-11-11T00:00:00"/>
    <d v="2016-10-05T00:00:00"/>
    <m/>
    <x v="82"/>
    <n v="41366"/>
    <n v="1"/>
    <n v="1"/>
    <n v="1"/>
    <n v="3"/>
    <n v="1"/>
  </r>
  <r>
    <n v="1238911579"/>
    <x v="1"/>
    <d v="1993-06-11T00:00:00"/>
    <d v="2013-02-04T00:00:00"/>
    <m/>
    <x v="82"/>
    <n v="41366"/>
    <n v="3"/>
    <n v="1"/>
    <n v="3"/>
    <n v="2"/>
    <n v="3"/>
  </r>
  <r>
    <n v="1238911580"/>
    <x v="0"/>
    <d v="1993-11-15T00:00:00"/>
    <d v="2019-10-02T00:00:00"/>
    <m/>
    <x v="54"/>
    <n v="63201.25"/>
    <n v="1"/>
    <n v="3"/>
    <n v="2"/>
    <n v="1"/>
    <n v="2"/>
  </r>
  <r>
    <n v="1238911581"/>
    <x v="1"/>
    <d v="1993-01-24T00:00:00"/>
    <d v="2016-02-03T00:00:00"/>
    <m/>
    <x v="51"/>
    <n v="39000"/>
    <n v="3"/>
    <n v="2"/>
    <n v="1"/>
    <n v="3"/>
    <n v="2"/>
  </r>
  <r>
    <n v="1238911582"/>
    <x v="0"/>
    <d v="1994-01-17T00:00:00"/>
    <d v="2015-06-07T00:00:00"/>
    <m/>
    <x v="245"/>
    <n v="50076"/>
    <n v="1"/>
    <n v="3"/>
    <n v="2"/>
    <n v="2"/>
    <n v="3"/>
  </r>
  <r>
    <n v="1238911583"/>
    <x v="0"/>
    <d v="1994-01-22T00:00:00"/>
    <d v="2014-12-03T00:00:00"/>
    <m/>
    <x v="246"/>
    <n v="48698"/>
    <n v="1"/>
    <n v="2"/>
    <n v="3"/>
    <n v="1"/>
    <n v="1"/>
  </r>
  <r>
    <n v="1238911584"/>
    <x v="0"/>
    <d v="1994-01-30T00:00:00"/>
    <d v="2022-03-30T00:00:00"/>
    <m/>
    <x v="49"/>
    <n v="75000"/>
    <n v="2"/>
    <n v="3"/>
    <n v="3"/>
    <n v="2"/>
    <n v="1"/>
  </r>
  <r>
    <n v="1238911585"/>
    <x v="0"/>
    <d v="1994-04-02T00:00:00"/>
    <d v="2017-11-02T00:00:00"/>
    <m/>
    <x v="247"/>
    <n v="70746"/>
    <n v="1"/>
    <n v="3"/>
    <n v="3"/>
    <n v="2"/>
    <n v="3"/>
  </r>
  <r>
    <n v="1238911586"/>
    <x v="0"/>
    <d v="1994-02-09T00:00:00"/>
    <d v="2016-05-04T00:00:00"/>
    <m/>
    <x v="248"/>
    <n v="62773.100000000006"/>
    <n v="3"/>
    <n v="3"/>
    <n v="3"/>
    <n v="1"/>
    <n v="1"/>
  </r>
  <r>
    <n v="1238911587"/>
    <x v="0"/>
    <d v="1999-07-30T00:00:00"/>
    <d v="2018-05-05T00:00:00"/>
    <m/>
    <x v="249"/>
    <n v="40125"/>
    <n v="2"/>
    <n v="3"/>
    <n v="3"/>
    <n v="2"/>
    <n v="1"/>
  </r>
  <r>
    <n v="1238911588"/>
    <x v="0"/>
    <d v="1994-03-01T00:00:00"/>
    <d v="2018-08-17T00:00:00"/>
    <m/>
    <x v="250"/>
    <n v="68750"/>
    <n v="1"/>
    <n v="3"/>
    <n v="1"/>
    <n v="3"/>
    <n v="3"/>
  </r>
  <r>
    <n v="1238911589"/>
    <x v="0"/>
    <d v="1994-03-21T00:00:00"/>
    <d v="2013-01-05T00:00:00"/>
    <m/>
    <x v="120"/>
    <n v="59800"/>
    <n v="3"/>
    <n v="2"/>
    <n v="2"/>
    <n v="1"/>
    <n v="1"/>
  </r>
  <r>
    <n v="1238911590"/>
    <x v="0"/>
    <d v="1994-10-31T00:00:00"/>
    <d v="2016-06-08T00:00:00"/>
    <m/>
    <x v="251"/>
    <n v="52500"/>
    <n v="2"/>
    <n v="2"/>
    <n v="1"/>
    <n v="1"/>
    <n v="3"/>
  </r>
  <r>
    <n v="1238911591"/>
    <x v="1"/>
    <d v="1994-03-28T00:00:00"/>
    <d v="2014-02-13T00:00:00"/>
    <m/>
    <x v="252"/>
    <n v="62998"/>
    <n v="1"/>
    <n v="1"/>
    <n v="2"/>
    <n v="2"/>
    <n v="3"/>
  </r>
  <r>
    <n v="1238911592"/>
    <x v="0"/>
    <d v="1994-05-26T00:00:00"/>
    <d v="2012-10-06T00:00:00"/>
    <m/>
    <x v="191"/>
    <n v="62500"/>
    <n v="2"/>
    <n v="1"/>
    <n v="3"/>
    <n v="2"/>
    <n v="1"/>
  </r>
  <r>
    <n v="1238911593"/>
    <x v="0"/>
    <d v="1994-06-21T00:00:00"/>
    <d v="2020-12-26T00:00:00"/>
    <m/>
    <x v="253"/>
    <n v="67945.474999999991"/>
    <n v="3"/>
    <n v="1"/>
    <n v="3"/>
    <n v="3"/>
    <n v="1"/>
  </r>
  <r>
    <n v="1238911594"/>
    <x v="0"/>
    <d v="1994-03-31T00:00:00"/>
    <d v="2021-01-15T00:00:00"/>
    <m/>
    <x v="253"/>
    <n v="67945.474999999991"/>
    <n v="1"/>
    <n v="3"/>
    <n v="1"/>
    <n v="2"/>
    <n v="2"/>
  </r>
  <r>
    <n v="1238911595"/>
    <x v="1"/>
    <d v="1994-07-01T00:00:00"/>
    <d v="2017-09-22T00:00:00"/>
    <m/>
    <x v="254"/>
    <n v="86457.8"/>
    <n v="3"/>
    <n v="2"/>
    <n v="2"/>
    <n v="1"/>
    <n v="1"/>
  </r>
  <r>
    <n v="1238911596"/>
    <x v="1"/>
    <d v="1994-07-25T00:00:00"/>
    <d v="2012-11-03T00:00:00"/>
    <m/>
    <x v="255"/>
    <n v="44200"/>
    <n v="3"/>
    <n v="1"/>
    <n v="3"/>
    <n v="1"/>
    <n v="1"/>
  </r>
  <r>
    <n v="1238911597"/>
    <x v="1"/>
    <d v="1994-08-13T00:00:00"/>
    <d v="2014-03-10T00:00:00"/>
    <m/>
    <x v="256"/>
    <n v="48735"/>
    <n v="3"/>
    <n v="3"/>
    <n v="1"/>
    <n v="1"/>
    <n v="3"/>
  </r>
  <r>
    <n v="1238911598"/>
    <x v="0"/>
    <d v="1994-09-26T00:00:00"/>
    <d v="2019-11-05T00:00:00"/>
    <m/>
    <x v="257"/>
    <n v="96250.049999999988"/>
    <n v="1"/>
    <n v="2"/>
    <n v="3"/>
    <n v="1"/>
    <n v="3"/>
  </r>
  <r>
    <n v="1238911599"/>
    <x v="0"/>
    <d v="1994-10-27T00:00:00"/>
    <d v="2017-09-26T00:00:00"/>
    <m/>
    <x v="120"/>
    <n v="56250"/>
    <n v="2"/>
    <n v="1"/>
    <n v="3"/>
    <n v="1"/>
    <n v="1"/>
  </r>
  <r>
    <n v="1238911600"/>
    <x v="1"/>
    <d v="1994-11-06T00:00:00"/>
    <d v="2016-07-18T00:00:00"/>
    <m/>
    <x v="258"/>
    <n v="60086"/>
    <n v="2"/>
    <n v="3"/>
    <n v="3"/>
    <n v="2"/>
    <n v="1"/>
  </r>
  <r>
    <n v="1238911601"/>
    <x v="1"/>
    <d v="1994-11-09T00:00:00"/>
    <d v="2014-09-25T00:00:00"/>
    <m/>
    <x v="259"/>
    <n v="72386.925000000003"/>
    <n v="3"/>
    <n v="3"/>
    <n v="3"/>
    <n v="3"/>
    <n v="2"/>
  </r>
  <r>
    <n v="1238911602"/>
    <x v="1"/>
    <d v="1994-11-24T00:00:00"/>
    <d v="2015-01-07T00:00:00"/>
    <d v="2024-10-15T00:00:00"/>
    <x v="260"/>
    <n v="45214"/>
    <n v="3"/>
    <n v="3"/>
    <n v="3"/>
    <n v="2"/>
    <n v="3"/>
  </r>
  <r>
    <n v="1238911603"/>
    <x v="0"/>
    <d v="1994-12-22T00:00:00"/>
    <d v="2013-01-14T00:00:00"/>
    <m/>
    <x v="124"/>
    <n v="83187.649999999994"/>
    <n v="1"/>
    <n v="2"/>
    <n v="2"/>
    <n v="3"/>
    <n v="3"/>
  </r>
  <r>
    <n v="1238911604"/>
    <x v="0"/>
    <d v="1995-01-03T00:00:00"/>
    <d v="2017-03-28T00:00:00"/>
    <d v="2025-05-07T00:00:00"/>
    <x v="175"/>
    <n v="52000"/>
    <n v="1"/>
    <n v="3"/>
    <n v="1"/>
    <n v="2"/>
    <n v="1"/>
  </r>
  <r>
    <n v="1238911605"/>
    <x v="0"/>
    <d v="1995-01-18T00:00:00"/>
    <d v="2015-06-10T00:00:00"/>
    <m/>
    <x v="30"/>
    <n v="35100"/>
    <n v="3"/>
    <n v="2"/>
    <n v="3"/>
    <n v="3"/>
    <n v="3"/>
  </r>
  <r>
    <n v="1238911606"/>
    <x v="0"/>
    <d v="1995-01-30T00:00:00"/>
    <d v="2014-04-08T00:00:00"/>
    <m/>
    <x v="261"/>
    <n v="78950"/>
    <n v="3"/>
    <n v="1"/>
    <n v="3"/>
    <n v="1"/>
    <n v="2"/>
  </r>
  <r>
    <n v="1238911607"/>
    <x v="1"/>
    <d v="1995-02-03T00:00:00"/>
    <d v="2020-05-19T00:00:00"/>
    <d v="2022-04-29T00:00:00"/>
    <x v="262"/>
    <n v="58983.75"/>
    <n v="1"/>
    <n v="3"/>
    <n v="3"/>
    <n v="1"/>
    <n v="2"/>
  </r>
  <r>
    <n v="1238911608"/>
    <x v="0"/>
    <d v="1995-02-06T00:00:00"/>
    <d v="2015-10-07T00:00:00"/>
    <d v="2020-12-18T00:00:00"/>
    <x v="263"/>
    <n v="65005.85"/>
    <n v="1"/>
    <n v="3"/>
    <n v="1"/>
    <n v="3"/>
    <n v="3"/>
  </r>
  <r>
    <n v="1238911609"/>
    <x v="0"/>
    <d v="1995-03-15T00:00:00"/>
    <d v="2013-04-24T00:00:00"/>
    <d v="2025-01-15T00:00:00"/>
    <x v="120"/>
    <n v="59383.75"/>
    <n v="3"/>
    <n v="1"/>
    <n v="1"/>
    <n v="2"/>
    <n v="1"/>
  </r>
  <r>
    <n v="1238911610"/>
    <x v="0"/>
    <d v="1995-03-19T00:00:00"/>
    <d v="2013-12-09T00:00:00"/>
    <d v="2022-11-24T00:00:00"/>
    <x v="177"/>
    <n v="76726"/>
    <n v="2"/>
    <n v="2"/>
    <n v="3"/>
    <n v="1"/>
    <n v="1"/>
  </r>
  <r>
    <n v="1238911611"/>
    <x v="1"/>
    <d v="1995-04-19T00:00:00"/>
    <d v="2015-02-15T00:00:00"/>
    <m/>
    <x v="264"/>
    <n v="49634"/>
    <n v="1"/>
    <n v="1"/>
    <n v="2"/>
    <n v="1"/>
    <n v="2"/>
  </r>
  <r>
    <n v="1238911612"/>
    <x v="1"/>
    <d v="1995-04-26T00:00:00"/>
    <d v="2020-10-25T00:00:00"/>
    <d v="2021-11-10T00:00:00"/>
    <x v="265"/>
    <n v="69628"/>
    <n v="1"/>
    <n v="3"/>
    <n v="1"/>
    <n v="3"/>
    <n v="3"/>
  </r>
  <r>
    <n v="1238911613"/>
    <x v="0"/>
    <d v="1995-06-07T00:00:00"/>
    <d v="2018-10-10T00:00:00"/>
    <m/>
    <x v="194"/>
    <n v="78753.75"/>
    <n v="2"/>
    <n v="2"/>
    <n v="3"/>
    <n v="2"/>
    <n v="3"/>
  </r>
  <r>
    <n v="1238911614"/>
    <x v="1"/>
    <d v="1995-05-09T00:00:00"/>
    <d v="2016-08-27T00:00:00"/>
    <m/>
    <x v="11"/>
    <n v="26572"/>
    <n v="1"/>
    <n v="1"/>
    <n v="1"/>
    <n v="1"/>
    <n v="2"/>
  </r>
  <r>
    <n v="1238911615"/>
    <x v="1"/>
    <d v="1995-06-22T00:00:00"/>
    <d v="2023-01-21T00:00:00"/>
    <m/>
    <x v="120"/>
    <n v="60190"/>
    <n v="2"/>
    <n v="2"/>
    <n v="1"/>
    <n v="1"/>
    <n v="1"/>
  </r>
  <r>
    <n v="1238911616"/>
    <x v="0"/>
    <d v="1995-08-08T00:00:00"/>
    <d v="2023-08-09T00:00:00"/>
    <m/>
    <x v="30"/>
    <n v="27300"/>
    <n v="3"/>
    <n v="1"/>
    <n v="2"/>
    <n v="1"/>
    <n v="3"/>
  </r>
  <r>
    <n v="1238911617"/>
    <x v="1"/>
    <d v="1995-08-10T00:00:00"/>
    <d v="2017-08-26T00:00:00"/>
    <m/>
    <x v="9"/>
    <n v="52500"/>
    <n v="3"/>
    <n v="2"/>
    <n v="3"/>
    <n v="3"/>
    <n v="2"/>
  </r>
  <r>
    <n v="1238911618"/>
    <x v="0"/>
    <d v="1995-07-30T00:00:00"/>
    <d v="2016-04-30T00:00:00"/>
    <m/>
    <x v="266"/>
    <n v="62500"/>
    <n v="3"/>
    <n v="2"/>
    <n v="3"/>
    <n v="3"/>
    <n v="3"/>
  </r>
  <r>
    <n v="1238911619"/>
    <x v="0"/>
    <d v="1998-01-10T00:00:00"/>
    <d v="2018-01-20T00:00:00"/>
    <d v="2022-08-17T00:00:00"/>
    <x v="77"/>
    <n v="49322.5"/>
    <n v="1"/>
    <n v="1"/>
    <n v="1"/>
    <n v="1"/>
    <n v="3"/>
  </r>
  <r>
    <n v="1238911620"/>
    <x v="0"/>
    <d v="1995-08-15T00:00:00"/>
    <d v="2019-10-11T00:00:00"/>
    <m/>
    <x v="77"/>
    <n v="49322.5"/>
    <n v="2"/>
    <n v="2"/>
    <n v="3"/>
    <n v="3"/>
    <n v="1"/>
  </r>
  <r>
    <n v="1238911621"/>
    <x v="1"/>
    <d v="1995-08-28T00:00:00"/>
    <d v="2019-07-05T00:00:00"/>
    <m/>
    <x v="82"/>
    <n v="34710"/>
    <n v="2"/>
    <n v="1"/>
    <n v="1"/>
    <n v="3"/>
    <n v="3"/>
  </r>
  <r>
    <n v="1238911622"/>
    <x v="0"/>
    <d v="1995-10-01T00:00:00"/>
    <d v="2020-10-27T00:00:00"/>
    <d v="2021-10-27T00:00:00"/>
    <x v="49"/>
    <n v="74022"/>
    <n v="2"/>
    <n v="2"/>
    <n v="3"/>
    <n v="3"/>
    <n v="3"/>
  </r>
  <r>
    <n v="1238911623"/>
    <x v="1"/>
    <d v="1995-08-31T00:00:00"/>
    <d v="2022-04-07T00:00:00"/>
    <m/>
    <x v="100"/>
    <n v="67500"/>
    <n v="2"/>
    <n v="3"/>
    <n v="3"/>
    <n v="1"/>
    <n v="2"/>
  </r>
  <r>
    <n v="1238911624"/>
    <x v="0"/>
    <d v="1995-09-03T00:00:00"/>
    <d v="2015-01-11T00:00:00"/>
    <d v="2024-08-16T00:00:00"/>
    <x v="30"/>
    <n v="42224"/>
    <n v="3"/>
    <n v="3"/>
    <n v="3"/>
    <n v="3"/>
    <n v="3"/>
  </r>
  <r>
    <n v="1238911625"/>
    <x v="1"/>
    <d v="1995-09-09T00:00:00"/>
    <d v="2017-03-01T00:00:00"/>
    <m/>
    <x v="267"/>
    <n v="61308"/>
    <n v="3"/>
    <n v="3"/>
    <n v="1"/>
    <n v="1"/>
    <n v="2"/>
  </r>
  <r>
    <n v="1238911626"/>
    <x v="0"/>
    <d v="1995-10-02T00:00:00"/>
    <d v="2015-12-16T00:00:00"/>
    <m/>
    <x v="120"/>
    <n v="65000"/>
    <n v="3"/>
    <n v="3"/>
    <n v="2"/>
    <n v="1"/>
    <n v="2"/>
  </r>
  <r>
    <n v="1238911627"/>
    <x v="1"/>
    <d v="1995-10-07T00:00:00"/>
    <d v="2020-07-18T00:00:00"/>
    <m/>
    <x v="268"/>
    <n v="34008"/>
    <n v="1"/>
    <n v="1"/>
    <n v="1"/>
    <n v="1"/>
    <n v="1"/>
  </r>
  <r>
    <n v="1238911628"/>
    <x v="0"/>
    <d v="1995-10-29T00:00:00"/>
    <d v="2023-09-13T00:00:00"/>
    <d v="2025-03-15T00:00:00"/>
    <x v="147"/>
    <n v="93750"/>
    <n v="3"/>
    <n v="1"/>
    <n v="1"/>
    <n v="2"/>
    <n v="3"/>
  </r>
  <r>
    <n v="1238911629"/>
    <x v="0"/>
    <d v="1995-11-19T00:00:00"/>
    <d v="2018-11-12T00:00:00"/>
    <m/>
    <x v="11"/>
    <n v="26520"/>
    <n v="1"/>
    <n v="1"/>
    <n v="2"/>
    <n v="1"/>
    <n v="3"/>
  </r>
  <r>
    <n v="1238911630"/>
    <x v="1"/>
    <d v="1995-11-26T00:00:00"/>
    <d v="2015-06-28T00:00:00"/>
    <d v="2025-05-07T00:00:00"/>
    <x v="30"/>
    <n v="31200"/>
    <n v="3"/>
    <n v="3"/>
    <n v="1"/>
    <n v="2"/>
    <n v="1"/>
  </r>
  <r>
    <n v="1238911631"/>
    <x v="0"/>
    <d v="1995-12-14T00:00:00"/>
    <d v="2017-08-27T00:00:00"/>
    <m/>
    <x v="238"/>
    <n v="52500"/>
    <n v="3"/>
    <n v="2"/>
    <n v="2"/>
    <n v="3"/>
    <n v="3"/>
  </r>
  <r>
    <n v="1238911632"/>
    <x v="0"/>
    <d v="1981-01-13T00:00:00"/>
    <d v="2023-05-14T00:00:00"/>
    <d v="2024-01-10T00:00:00"/>
    <x v="269"/>
    <n v="75000"/>
    <n v="1"/>
    <n v="2"/>
    <n v="1"/>
    <n v="1"/>
    <n v="1"/>
  </r>
  <r>
    <n v="1238911633"/>
    <x v="0"/>
    <d v="1996-02-25T00:00:00"/>
    <d v="2024-01-11T00:00:00"/>
    <m/>
    <x v="173"/>
    <n v="91000"/>
    <n v="3"/>
    <n v="1"/>
    <n v="3"/>
    <n v="2"/>
    <n v="3"/>
  </r>
  <r>
    <n v="1238911634"/>
    <x v="0"/>
    <d v="1996-03-27T00:00:00"/>
    <d v="2021-12-28T00:00:00"/>
    <m/>
    <x v="270"/>
    <n v="44200"/>
    <n v="1"/>
    <n v="2"/>
    <n v="1"/>
    <n v="1"/>
    <n v="1"/>
  </r>
  <r>
    <n v="1238911635"/>
    <x v="1"/>
    <d v="1996-04-13T00:00:00"/>
    <d v="2018-11-07T00:00:00"/>
    <d v="2023-10-25T00:00:00"/>
    <x v="51"/>
    <n v="39000"/>
    <n v="3"/>
    <n v="3"/>
    <n v="2"/>
    <n v="3"/>
    <n v="3"/>
  </r>
  <r>
    <n v="1238911636"/>
    <x v="0"/>
    <d v="1996-05-04T00:00:00"/>
    <d v="2016-03-08T00:00:00"/>
    <m/>
    <x v="30"/>
    <n v="29042"/>
    <n v="1"/>
    <n v="1"/>
    <n v="1"/>
    <n v="2"/>
    <n v="2"/>
  </r>
  <r>
    <n v="1238911637"/>
    <x v="0"/>
    <d v="1996-04-21T00:00:00"/>
    <d v="2024-08-30T00:00:00"/>
    <m/>
    <x v="82"/>
    <n v="31590"/>
    <n v="1"/>
    <n v="1"/>
    <n v="3"/>
    <n v="3"/>
    <n v="2"/>
  </r>
  <r>
    <n v="1238911638"/>
    <x v="0"/>
    <d v="1996-05-30T00:00:00"/>
    <d v="2022-10-12T00:00:00"/>
    <m/>
    <x v="49"/>
    <n v="62608"/>
    <n v="2"/>
    <n v="3"/>
    <n v="2"/>
    <n v="3"/>
    <n v="3"/>
  </r>
  <r>
    <n v="1238911639"/>
    <x v="1"/>
    <d v="1996-05-24T00:00:00"/>
    <d v="2015-08-10T00:00:00"/>
    <d v="2022-03-16T00:00:00"/>
    <x v="54"/>
    <n v="57850"/>
    <n v="1"/>
    <n v="1"/>
    <n v="1"/>
    <n v="1"/>
    <n v="2"/>
  </r>
  <r>
    <n v="1238911640"/>
    <x v="0"/>
    <d v="1996-06-23T00:00:00"/>
    <d v="2016-01-01T00:00:00"/>
    <m/>
    <x v="271"/>
    <n v="33008.75"/>
    <n v="1"/>
    <n v="3"/>
    <n v="3"/>
    <n v="3"/>
    <n v="3"/>
  </r>
  <r>
    <n v="1238911641"/>
    <x v="1"/>
    <d v="1996-06-27T00:00:00"/>
    <d v="2015-12-04T00:00:00"/>
    <d v="2021-12-11T00:00:00"/>
    <x v="158"/>
    <n v="45084"/>
    <n v="1"/>
    <n v="3"/>
    <n v="1"/>
    <n v="3"/>
    <n v="3"/>
  </r>
  <r>
    <n v="1238911642"/>
    <x v="1"/>
    <d v="1996-02-29T00:00:00"/>
    <d v="2015-12-04T00:00:00"/>
    <m/>
    <x v="158"/>
    <n v="45084"/>
    <n v="2"/>
    <n v="3"/>
    <n v="3"/>
    <n v="3"/>
    <n v="3"/>
  </r>
  <r>
    <n v="1238911643"/>
    <x v="1"/>
    <d v="1996-06-30T00:00:00"/>
    <d v="2023-05-10T00:00:00"/>
    <m/>
    <x v="34"/>
    <n v="53025.05"/>
    <n v="3"/>
    <n v="2"/>
    <n v="2"/>
    <n v="3"/>
    <n v="3"/>
  </r>
  <r>
    <n v="1238911644"/>
    <x v="0"/>
    <d v="1996-12-03T00:00:00"/>
    <d v="2021-04-08T00:00:00"/>
    <m/>
    <x v="272"/>
    <n v="42666"/>
    <n v="1"/>
    <n v="2"/>
    <n v="3"/>
    <n v="3"/>
    <n v="3"/>
  </r>
  <r>
    <n v="1238911645"/>
    <x v="1"/>
    <d v="1996-07-07T00:00:00"/>
    <d v="2014-09-20T00:00:00"/>
    <d v="2025-01-08T00:00:00"/>
    <x v="54"/>
    <n v="55743.75"/>
    <n v="3"/>
    <n v="2"/>
    <n v="2"/>
    <n v="3"/>
    <n v="2"/>
  </r>
  <r>
    <n v="1238911646"/>
    <x v="0"/>
    <d v="1996-08-04T00:00:00"/>
    <d v="2023-02-13T00:00:00"/>
    <m/>
    <x v="60"/>
    <n v="47502.5"/>
    <n v="2"/>
    <n v="3"/>
    <n v="3"/>
    <n v="3"/>
    <n v="2"/>
  </r>
  <r>
    <n v="1238911647"/>
    <x v="0"/>
    <d v="1996-10-06T00:00:00"/>
    <d v="2021-05-09T00:00:00"/>
    <m/>
    <x v="269"/>
    <n v="78750.100000000006"/>
    <n v="3"/>
    <n v="1"/>
    <n v="1"/>
    <n v="1"/>
    <n v="1"/>
  </r>
  <r>
    <n v="1238911648"/>
    <x v="1"/>
    <d v="1996-11-26T00:00:00"/>
    <d v="2018-10-05T00:00:00"/>
    <d v="2022-09-21T00:00:00"/>
    <x v="169"/>
    <n v="66912.5"/>
    <n v="3"/>
    <n v="3"/>
    <n v="1"/>
    <n v="2"/>
    <n v="3"/>
  </r>
  <r>
    <n v="1238911649"/>
    <x v="0"/>
    <d v="1997-04-03T00:00:00"/>
    <d v="2022-09-29T00:00:00"/>
    <m/>
    <x v="49"/>
    <n v="75000"/>
    <n v="2"/>
    <n v="2"/>
    <n v="3"/>
    <n v="2"/>
    <n v="3"/>
  </r>
  <r>
    <n v="1238911650"/>
    <x v="0"/>
    <d v="1997-02-10T00:00:00"/>
    <d v="2023-04-12T00:00:00"/>
    <m/>
    <x v="273"/>
    <n v="62426"/>
    <n v="2"/>
    <n v="2"/>
    <n v="2"/>
    <n v="2"/>
    <n v="1"/>
  </r>
  <r>
    <n v="1238911651"/>
    <x v="0"/>
    <d v="1997-06-01T00:00:00"/>
    <d v="2016-10-09T00:00:00"/>
    <d v="2023-04-12T00:00:00"/>
    <x v="273"/>
    <n v="62426"/>
    <n v="1"/>
    <n v="3"/>
    <n v="1"/>
    <n v="2"/>
    <n v="3"/>
  </r>
  <r>
    <n v="1238911652"/>
    <x v="1"/>
    <d v="1997-02-22T00:00:00"/>
    <d v="2019-02-21T00:00:00"/>
    <m/>
    <x v="30"/>
    <n v="31278"/>
    <n v="3"/>
    <n v="1"/>
    <n v="3"/>
    <n v="3"/>
    <n v="1"/>
  </r>
  <r>
    <n v="1238911653"/>
    <x v="1"/>
    <d v="1997-03-23T00:00:00"/>
    <d v="2015-11-06T00:00:00"/>
    <m/>
    <x v="233"/>
    <n v="42900"/>
    <n v="3"/>
    <n v="1"/>
    <n v="2"/>
    <n v="2"/>
    <n v="1"/>
  </r>
  <r>
    <n v="1238911654"/>
    <x v="1"/>
    <d v="1997-04-06T00:00:00"/>
    <d v="2022-09-15T00:00:00"/>
    <m/>
    <x v="11"/>
    <n v="26520"/>
    <n v="2"/>
    <n v="2"/>
    <n v="2"/>
    <n v="2"/>
    <n v="2"/>
  </r>
  <r>
    <n v="1238911655"/>
    <x v="0"/>
    <d v="1997-04-06T00:00:00"/>
    <d v="2022-03-13T00:00:00"/>
    <m/>
    <x v="274"/>
    <n v="56108"/>
    <n v="3"/>
    <n v="3"/>
    <n v="1"/>
    <n v="2"/>
    <n v="1"/>
  </r>
  <r>
    <n v="1238911656"/>
    <x v="0"/>
    <d v="1997-06-16T00:00:00"/>
    <d v="2021-09-02T00:00:00"/>
    <m/>
    <x v="49"/>
    <n v="77782.574999999997"/>
    <n v="3"/>
    <n v="3"/>
    <n v="3"/>
    <n v="2"/>
    <n v="3"/>
  </r>
  <r>
    <n v="1238911657"/>
    <x v="1"/>
    <d v="1997-06-28T00:00:00"/>
    <d v="2017-03-07T00:00:00"/>
    <m/>
    <x v="30"/>
    <n v="31200"/>
    <n v="3"/>
    <n v="1"/>
    <n v="2"/>
    <n v="1"/>
    <n v="2"/>
  </r>
  <r>
    <n v="1238911658"/>
    <x v="1"/>
    <d v="1997-08-16T00:00:00"/>
    <d v="2023-03-31T00:00:00"/>
    <d v="2023-10-04T00:00:00"/>
    <x v="275"/>
    <n v="68744"/>
    <n v="1"/>
    <n v="2"/>
    <n v="3"/>
    <n v="1"/>
    <n v="3"/>
  </r>
  <r>
    <n v="1238911659"/>
    <x v="0"/>
    <d v="1997-11-07T00:00:00"/>
    <d v="2021-06-23T00:00:00"/>
    <m/>
    <x v="120"/>
    <n v="57174"/>
    <n v="1"/>
    <n v="2"/>
    <n v="3"/>
    <n v="3"/>
    <n v="1"/>
  </r>
  <r>
    <n v="1238911660"/>
    <x v="1"/>
    <d v="1997-07-31T00:00:00"/>
    <d v="2020-02-08T00:00:00"/>
    <m/>
    <x v="67"/>
    <n v="31486.25"/>
    <n v="3"/>
    <n v="1"/>
    <n v="1"/>
    <n v="1"/>
    <n v="3"/>
  </r>
  <r>
    <n v="1238911661"/>
    <x v="1"/>
    <d v="1997-10-14T00:00:00"/>
    <d v="2022-01-09T00:00:00"/>
    <m/>
    <x v="276"/>
    <n v="70125"/>
    <n v="2"/>
    <n v="1"/>
    <n v="2"/>
    <n v="1"/>
    <n v="1"/>
  </r>
  <r>
    <n v="1238911662"/>
    <x v="1"/>
    <d v="1997-06-02T00:00:00"/>
    <d v="2016-09-29T00:00:00"/>
    <d v="2023-02-01T00:00:00"/>
    <x v="266"/>
    <n v="51506"/>
    <n v="2"/>
    <n v="3"/>
    <n v="1"/>
    <n v="3"/>
    <n v="3"/>
  </r>
  <r>
    <n v="1238911663"/>
    <x v="0"/>
    <d v="1997-10-31T00:00:00"/>
    <d v="2016-06-20T00:00:00"/>
    <m/>
    <x v="266"/>
    <n v="57200"/>
    <n v="2"/>
    <n v="3"/>
    <n v="3"/>
    <n v="2"/>
    <n v="3"/>
  </r>
  <r>
    <n v="1238911664"/>
    <x v="1"/>
    <d v="1996-12-29T00:00:00"/>
    <d v="2022-09-03T00:00:00"/>
    <m/>
    <x v="120"/>
    <n v="63908"/>
    <n v="2"/>
    <n v="2"/>
    <n v="1"/>
    <n v="2"/>
    <n v="2"/>
  </r>
  <r>
    <n v="1238911665"/>
    <x v="1"/>
    <d v="1997-11-11T00:00:00"/>
    <d v="2021-06-26T00:00:00"/>
    <m/>
    <x v="275"/>
    <n v="68536"/>
    <n v="2"/>
    <n v="1"/>
    <n v="2"/>
    <n v="1"/>
    <n v="2"/>
  </r>
  <r>
    <n v="1238911666"/>
    <x v="1"/>
    <d v="1997-11-29T00:00:00"/>
    <d v="2021-07-22T00:00:00"/>
    <m/>
    <x v="30"/>
    <n v="29822"/>
    <n v="2"/>
    <n v="3"/>
    <n v="3"/>
    <n v="2"/>
    <n v="3"/>
  </r>
  <r>
    <n v="1238911667"/>
    <x v="1"/>
    <d v="1997-03-20T00:00:00"/>
    <d v="2022-09-18T00:00:00"/>
    <m/>
    <x v="120"/>
    <n v="62500"/>
    <n v="3"/>
    <n v="3"/>
    <n v="1"/>
    <n v="1"/>
    <n v="3"/>
  </r>
  <r>
    <n v="1238911668"/>
    <x v="0"/>
    <d v="1998-04-30T00:00:00"/>
    <d v="2020-08-24T00:00:00"/>
    <m/>
    <x v="277"/>
    <n v="39000"/>
    <n v="2"/>
    <n v="3"/>
    <n v="3"/>
    <n v="1"/>
    <n v="1"/>
  </r>
  <r>
    <n v="1238911669"/>
    <x v="0"/>
    <d v="1998-05-11T00:00:00"/>
    <d v="2019-06-15T00:00:00"/>
    <m/>
    <x v="0"/>
    <n v="31200"/>
    <n v="3"/>
    <n v="3"/>
    <n v="2"/>
    <n v="1"/>
    <n v="3"/>
  </r>
  <r>
    <n v="1238911670"/>
    <x v="0"/>
    <d v="1998-08-04T00:00:00"/>
    <d v="2022-12-24T00:00:00"/>
    <m/>
    <x v="278"/>
    <n v="52000"/>
    <n v="1"/>
    <n v="3"/>
    <n v="3"/>
    <n v="3"/>
    <n v="1"/>
  </r>
  <r>
    <n v="1238911671"/>
    <x v="1"/>
    <d v="1998-06-14T00:00:00"/>
    <d v="2021-07-16T00:00:00"/>
    <d v="2022-12-24T00:00:00"/>
    <x v="278"/>
    <n v="52000"/>
    <n v="2"/>
    <n v="3"/>
    <n v="3"/>
    <n v="1"/>
    <n v="1"/>
  </r>
  <r>
    <n v="1238911672"/>
    <x v="1"/>
    <d v="1998-07-13T00:00:00"/>
    <d v="2023-06-12T00:00:00"/>
    <m/>
    <x v="120"/>
    <n v="62500"/>
    <n v="3"/>
    <n v="1"/>
    <n v="2"/>
    <n v="2"/>
    <n v="2"/>
  </r>
  <r>
    <n v="1238911673"/>
    <x v="0"/>
    <d v="1998-08-28T00:00:00"/>
    <d v="2017-06-19T00:00:00"/>
    <m/>
    <x v="19"/>
    <n v="33800"/>
    <n v="3"/>
    <n v="2"/>
    <n v="2"/>
    <n v="1"/>
    <n v="2"/>
  </r>
  <r>
    <n v="1238911674"/>
    <x v="1"/>
    <d v="1998-08-31T00:00:00"/>
    <d v="2022-03-31T00:00:00"/>
    <m/>
    <x v="279"/>
    <n v="33384"/>
    <n v="3"/>
    <n v="1"/>
    <n v="2"/>
    <n v="1"/>
    <n v="3"/>
  </r>
  <r>
    <n v="1238911675"/>
    <x v="1"/>
    <d v="1998-11-08T00:00:00"/>
    <d v="2019-07-22T00:00:00"/>
    <d v="2022-03-31T00:00:00"/>
    <x v="279"/>
    <n v="33384"/>
    <n v="2"/>
    <n v="2"/>
    <n v="2"/>
    <n v="2"/>
    <n v="2"/>
  </r>
  <r>
    <n v="1238911676"/>
    <x v="0"/>
    <d v="1998-09-02T00:00:00"/>
    <d v="2017-01-31T00:00:00"/>
    <m/>
    <x v="280"/>
    <n v="75010"/>
    <n v="1"/>
    <n v="2"/>
    <n v="3"/>
    <n v="2"/>
    <n v="3"/>
  </r>
  <r>
    <n v="1238911677"/>
    <x v="0"/>
    <d v="1998-09-10T00:00:00"/>
    <d v="2018-10-14T00:00:00"/>
    <m/>
    <x v="281"/>
    <n v="31486.25"/>
    <n v="3"/>
    <n v="2"/>
    <n v="3"/>
    <n v="2"/>
    <n v="1"/>
  </r>
  <r>
    <n v="1238911678"/>
    <x v="0"/>
    <d v="1998-02-01T00:00:00"/>
    <d v="2021-05-06T00:00:00"/>
    <m/>
    <x v="281"/>
    <n v="31486.25"/>
    <n v="1"/>
    <n v="3"/>
    <n v="3"/>
    <n v="2"/>
    <n v="1"/>
  </r>
  <r>
    <n v="1238911679"/>
    <x v="0"/>
    <d v="1998-12-01T00:00:00"/>
    <d v="2019-12-23T00:00:00"/>
    <d v="2023-11-08T00:00:00"/>
    <x v="30"/>
    <n v="40170"/>
    <n v="3"/>
    <n v="3"/>
    <n v="3"/>
    <n v="1"/>
    <n v="1"/>
  </r>
  <r>
    <n v="1238911680"/>
    <x v="1"/>
    <d v="1995-01-14T00:00:00"/>
    <d v="2024-09-18T00:00:00"/>
    <m/>
    <x v="171"/>
    <n v="68744"/>
    <n v="1"/>
    <n v="3"/>
    <n v="3"/>
    <n v="3"/>
    <n v="2"/>
  </r>
  <r>
    <n v="1238911681"/>
    <x v="1"/>
    <d v="1999-02-01T00:00:00"/>
    <d v="2018-12-20T00:00:00"/>
    <d v="2023-06-28T00:00:00"/>
    <x v="177"/>
    <n v="50076"/>
    <n v="2"/>
    <n v="1"/>
    <n v="1"/>
    <n v="3"/>
    <n v="3"/>
  </r>
  <r>
    <n v="1238911682"/>
    <x v="1"/>
    <d v="1999-12-21T00:00:00"/>
    <d v="2019-12-05T00:00:00"/>
    <m/>
    <x v="177"/>
    <n v="50076"/>
    <n v="1"/>
    <n v="2"/>
    <n v="2"/>
    <n v="2"/>
    <n v="1"/>
  </r>
  <r>
    <n v="1238911683"/>
    <x v="0"/>
    <d v="1995-02-06T00:00:00"/>
    <d v="2017-10-16T00:00:00"/>
    <d v="2022-03-10T00:00:00"/>
    <x v="256"/>
    <n v="44200"/>
    <n v="1"/>
    <n v="2"/>
    <n v="3"/>
    <n v="2"/>
    <n v="2"/>
  </r>
  <r>
    <n v="1238911684"/>
    <x v="1"/>
    <d v="1999-11-30T00:00:00"/>
    <d v="2022-07-14T00:00:00"/>
    <m/>
    <x v="256"/>
    <n v="44200"/>
    <n v="3"/>
    <n v="2"/>
    <n v="2"/>
    <n v="1"/>
    <n v="2"/>
  </r>
  <r>
    <n v="1238911685"/>
    <x v="0"/>
    <d v="1999-04-21T00:00:00"/>
    <d v="2024-08-21T00:00:00"/>
    <m/>
    <x v="0"/>
    <n v="31512"/>
    <n v="3"/>
    <n v="2"/>
    <n v="1"/>
    <n v="3"/>
    <n v="3"/>
  </r>
  <r>
    <n v="1238911686"/>
    <x v="0"/>
    <d v="1999-07-31T00:00:00"/>
    <d v="2019-10-07T00:00:00"/>
    <m/>
    <x v="30"/>
    <n v="28600"/>
    <n v="3"/>
    <n v="1"/>
    <n v="2"/>
    <n v="2"/>
    <n v="2"/>
  </r>
  <r>
    <n v="1238911687"/>
    <x v="0"/>
    <d v="1999-05-08T00:00:00"/>
    <d v="2024-02-09T00:00:00"/>
    <m/>
    <x v="282"/>
    <n v="33800"/>
    <n v="3"/>
    <n v="2"/>
    <n v="3"/>
    <n v="2"/>
    <n v="1"/>
  </r>
  <r>
    <n v="1238911688"/>
    <x v="1"/>
    <d v="1999-06-09T00:00:00"/>
    <d v="2018-07-25T00:00:00"/>
    <m/>
    <x v="120"/>
    <n v="54834"/>
    <n v="3"/>
    <n v="1"/>
    <n v="1"/>
    <n v="1"/>
    <n v="3"/>
  </r>
  <r>
    <n v="1238911689"/>
    <x v="0"/>
    <d v="1999-02-17T00:00:00"/>
    <d v="2023-11-15T00:00:00"/>
    <m/>
    <x v="93"/>
    <n v="28886.25"/>
    <n v="1"/>
    <n v="2"/>
    <n v="2"/>
    <n v="3"/>
    <n v="3"/>
  </r>
  <r>
    <n v="1238911690"/>
    <x v="0"/>
    <d v="1995-06-19T00:00:00"/>
    <d v="2024-08-15T00:00:00"/>
    <m/>
    <x v="283"/>
    <n v="68770"/>
    <n v="2"/>
    <n v="1"/>
    <n v="2"/>
    <n v="2"/>
    <n v="1"/>
  </r>
  <r>
    <n v="1238911691"/>
    <x v="0"/>
    <d v="1999-07-03T00:00:00"/>
    <d v="2019-02-13T00:00:00"/>
    <m/>
    <x v="284"/>
    <n v="36972"/>
    <n v="2"/>
    <n v="3"/>
    <n v="2"/>
    <n v="2"/>
    <n v="1"/>
  </r>
  <r>
    <n v="1238911692"/>
    <x v="0"/>
    <d v="1999-07-10T00:00:00"/>
    <d v="2021-09-12T00:00:00"/>
    <m/>
    <x v="119"/>
    <n v="31928"/>
    <n v="1"/>
    <n v="2"/>
    <n v="3"/>
    <n v="2"/>
    <n v="3"/>
  </r>
  <r>
    <n v="1238911693"/>
    <x v="0"/>
    <d v="1999-11-29T00:00:00"/>
    <d v="2018-06-17T00:00:00"/>
    <d v="2022-05-26T00:00:00"/>
    <x v="285"/>
    <n v="44356"/>
    <n v="2"/>
    <n v="1"/>
    <n v="2"/>
    <n v="3"/>
    <n v="1"/>
  </r>
  <r>
    <n v="1238911694"/>
    <x v="1"/>
    <d v="1999-07-28T00:00:00"/>
    <d v="2020-03-30T00:00:00"/>
    <d v="2020-10-28T00:00:00"/>
    <x v="44"/>
    <n v="32448"/>
    <n v="3"/>
    <n v="2"/>
    <n v="2"/>
    <n v="2"/>
    <n v="3"/>
  </r>
  <r>
    <n v="1238911695"/>
    <x v="0"/>
    <d v="1999-07-31T00:00:00"/>
    <d v="2022-11-28T00:00:00"/>
    <d v="2024-10-02T00:00:00"/>
    <x v="0"/>
    <n v="27300"/>
    <n v="2"/>
    <n v="2"/>
    <n v="1"/>
    <n v="3"/>
    <n v="2"/>
  </r>
  <r>
    <n v="1238911696"/>
    <x v="1"/>
    <d v="1999-06-25T00:00:00"/>
    <d v="2021-07-02T00:00:00"/>
    <m/>
    <x v="30"/>
    <n v="31200"/>
    <n v="3"/>
    <n v="2"/>
    <n v="1"/>
    <n v="3"/>
    <n v="3"/>
  </r>
  <r>
    <n v="1238911697"/>
    <x v="0"/>
    <d v="1999-06-06T00:00:00"/>
    <d v="2023-01-26T00:00:00"/>
    <m/>
    <x v="286"/>
    <n v="51558"/>
    <n v="3"/>
    <n v="2"/>
    <n v="2"/>
    <n v="2"/>
    <n v="1"/>
  </r>
  <r>
    <n v="1238911698"/>
    <x v="0"/>
    <d v="1999-09-10T00:00:00"/>
    <d v="2025-01-16T00:00:00"/>
    <m/>
    <x v="287"/>
    <n v="48464"/>
    <n v="1"/>
    <n v="3"/>
    <n v="2"/>
    <n v="3"/>
    <n v="1"/>
  </r>
  <r>
    <n v="1238911699"/>
    <x v="1"/>
    <d v="1993-09-24T00:00:00"/>
    <d v="2019-11-20T00:00:00"/>
    <m/>
    <x v="288"/>
    <n v="60461.25"/>
    <n v="1"/>
    <n v="1"/>
    <n v="1"/>
    <n v="1"/>
    <n v="3"/>
  </r>
  <r>
    <n v="1238911700"/>
    <x v="0"/>
    <d v="1996-10-18T00:00:00"/>
    <d v="2017-10-19T00:00:00"/>
    <m/>
    <x v="289"/>
    <n v="72878"/>
    <n v="2"/>
    <n v="2"/>
    <n v="2"/>
    <n v="1"/>
    <n v="1"/>
  </r>
  <r>
    <n v="1238911701"/>
    <x v="1"/>
    <d v="1999-10-27T00:00:00"/>
    <d v="2021-03-14T00:00:00"/>
    <m/>
    <x v="11"/>
    <n v="26520"/>
    <n v="3"/>
    <n v="1"/>
    <n v="2"/>
    <n v="2"/>
    <n v="1"/>
  </r>
  <r>
    <n v="1238911702"/>
    <x v="0"/>
    <d v="1999-11-13T00:00:00"/>
    <d v="2023-11-04T00:00:00"/>
    <m/>
    <x v="184"/>
    <n v="62842"/>
    <n v="3"/>
    <n v="1"/>
    <n v="3"/>
    <n v="3"/>
    <n v="3"/>
  </r>
  <r>
    <n v="1238911703"/>
    <x v="0"/>
    <d v="1996-11-19T00:00:00"/>
    <d v="2015-08-22T00:00:00"/>
    <m/>
    <x v="266"/>
    <n v="61438"/>
    <n v="2"/>
    <n v="2"/>
    <n v="2"/>
    <n v="3"/>
    <n v="2"/>
  </r>
  <r>
    <n v="1238911704"/>
    <x v="1"/>
    <d v="1999-12-25T00:00:00"/>
    <d v="2021-06-04T00:00:00"/>
    <m/>
    <x v="290"/>
    <n v="46253.75"/>
    <n v="3"/>
    <n v="1"/>
    <n v="2"/>
    <n v="3"/>
    <n v="1"/>
  </r>
  <r>
    <n v="1238911705"/>
    <x v="1"/>
    <d v="2000-01-22T00:00:00"/>
    <d v="2022-06-20T00:00:00"/>
    <d v="2025-06-18T00:00:00"/>
    <x v="291"/>
    <n v="39000"/>
    <n v="1"/>
    <n v="1"/>
    <n v="2"/>
    <n v="2"/>
    <n v="3"/>
  </r>
  <r>
    <n v="1238911706"/>
    <x v="0"/>
    <d v="2000-02-09T00:00:00"/>
    <d v="2024-11-23T00:00:00"/>
    <m/>
    <x v="292"/>
    <n v="71292.5"/>
    <n v="2"/>
    <n v="1"/>
    <n v="2"/>
    <n v="1"/>
    <n v="1"/>
  </r>
  <r>
    <n v="1238911707"/>
    <x v="0"/>
    <d v="2000-03-18T00:00:00"/>
    <d v="2020-03-31T00:00:00"/>
    <m/>
    <x v="30"/>
    <n v="31200"/>
    <n v="3"/>
    <n v="3"/>
    <n v="3"/>
    <n v="2"/>
    <n v="2"/>
  </r>
  <r>
    <n v="1238911708"/>
    <x v="1"/>
    <d v="2000-07-05T00:00:00"/>
    <d v="2024-11-20T00:00:00"/>
    <m/>
    <x v="293"/>
    <n v="49400"/>
    <n v="2"/>
    <n v="2"/>
    <n v="3"/>
    <n v="3"/>
    <n v="1"/>
  </r>
  <r>
    <n v="1238911709"/>
    <x v="1"/>
    <d v="1994-03-23T00:00:00"/>
    <d v="2019-10-27T00:00:00"/>
    <d v="2022-03-06T00:00:00"/>
    <x v="49"/>
    <n v="75000"/>
    <n v="2"/>
    <n v="2"/>
    <n v="2"/>
    <n v="3"/>
    <n v="2"/>
  </r>
  <r>
    <n v="1238911710"/>
    <x v="0"/>
    <d v="2000-06-10T00:00:00"/>
    <d v="2023-06-02T00:00:00"/>
    <m/>
    <x v="294"/>
    <n v="37128"/>
    <n v="3"/>
    <n v="3"/>
    <n v="2"/>
    <n v="3"/>
    <n v="3"/>
  </r>
  <r>
    <n v="1238911711"/>
    <x v="0"/>
    <d v="2000-06-23T00:00:00"/>
    <d v="2019-10-13T00:00:00"/>
    <d v="2022-09-28T00:00:00"/>
    <x v="119"/>
    <n v="31824"/>
    <n v="3"/>
    <n v="3"/>
    <n v="2"/>
    <n v="3"/>
    <n v="3"/>
  </r>
  <r>
    <n v="1238911712"/>
    <x v="0"/>
    <d v="2000-11-01T00:00:00"/>
    <d v="2020-04-29T00:00:00"/>
    <m/>
    <x v="29"/>
    <n v="32500"/>
    <n v="1"/>
    <n v="3"/>
    <n v="3"/>
    <n v="1"/>
    <n v="2"/>
  </r>
  <r>
    <n v="1238911713"/>
    <x v="1"/>
    <d v="2000-11-15T00:00:00"/>
    <d v="2023-05-06T00:00:00"/>
    <m/>
    <x v="54"/>
    <n v="54054"/>
    <n v="3"/>
    <n v="2"/>
    <n v="1"/>
    <n v="2"/>
    <n v="1"/>
  </r>
  <r>
    <n v="1238911714"/>
    <x v="1"/>
    <d v="1996-09-29T00:00:00"/>
    <d v="2020-02-11T00:00:00"/>
    <d v="2022-09-14T00:00:00"/>
    <x v="82"/>
    <n v="31303.75"/>
    <n v="2"/>
    <n v="2"/>
    <n v="3"/>
    <n v="3"/>
    <n v="3"/>
  </r>
  <r>
    <n v="1238911715"/>
    <x v="1"/>
    <d v="2000-11-17T00:00:00"/>
    <d v="2022-11-02T00:00:00"/>
    <d v="2023-02-24T00:00:00"/>
    <x v="271"/>
    <n v="31200"/>
    <n v="2"/>
    <n v="2"/>
    <n v="2"/>
    <n v="3"/>
    <n v="1"/>
  </r>
  <r>
    <n v="1238911716"/>
    <x v="1"/>
    <d v="2001-01-19T00:00:00"/>
    <d v="2020-02-13T00:00:00"/>
    <d v="2025-02-19T00:00:00"/>
    <x v="295"/>
    <n v="55717.5"/>
    <n v="3"/>
    <n v="1"/>
    <n v="2"/>
    <n v="3"/>
    <n v="1"/>
  </r>
  <r>
    <n v="1238911717"/>
    <x v="0"/>
    <d v="2001-01-04T00:00:00"/>
    <d v="2021-06-26T00:00:00"/>
    <m/>
    <x v="296"/>
    <n v="30056"/>
    <n v="3"/>
    <n v="3"/>
    <n v="3"/>
    <n v="1"/>
    <n v="2"/>
  </r>
  <r>
    <n v="1238911718"/>
    <x v="1"/>
    <d v="2001-04-25T00:00:00"/>
    <d v="2024-10-18T00:00:00"/>
    <m/>
    <x v="275"/>
    <n v="57500"/>
    <n v="2"/>
    <n v="3"/>
    <n v="1"/>
    <n v="1"/>
    <n v="2"/>
  </r>
  <r>
    <n v="1238911719"/>
    <x v="0"/>
    <d v="2001-08-30T00:00:00"/>
    <d v="2022-02-27T00:00:00"/>
    <m/>
    <x v="297"/>
    <n v="31927.5"/>
    <n v="3"/>
    <n v="1"/>
    <n v="2"/>
    <n v="2"/>
    <n v="1"/>
  </r>
  <r>
    <n v="1238911720"/>
    <x v="1"/>
    <d v="1998-09-11T00:00:00"/>
    <d v="2024-05-02T00:00:00"/>
    <m/>
    <x v="298"/>
    <n v="50023.75"/>
    <n v="3"/>
    <n v="1"/>
    <n v="3"/>
    <n v="1"/>
    <n v="2"/>
  </r>
  <r>
    <n v="1238911721"/>
    <x v="0"/>
    <d v="2001-10-20T00:00:00"/>
    <d v="2020-05-07T00:00:00"/>
    <m/>
    <x v="73"/>
    <n v="34320"/>
    <n v="1"/>
    <n v="1"/>
    <n v="3"/>
    <n v="2"/>
    <n v="1"/>
  </r>
  <r>
    <n v="1238911722"/>
    <x v="0"/>
    <d v="2001-05-31T00:00:00"/>
    <d v="2021-09-03T00:00:00"/>
    <d v="2023-10-25T00:00:00"/>
    <x v="73"/>
    <n v="34320"/>
    <n v="1"/>
    <n v="3"/>
    <n v="1"/>
    <n v="3"/>
    <n v="1"/>
  </r>
  <r>
    <n v="1238911723"/>
    <x v="1"/>
    <d v="2001-10-26T00:00:00"/>
    <d v="2021-04-19T00:00:00"/>
    <d v="2023-11-08T00:00:00"/>
    <x v="299"/>
    <n v="53820"/>
    <n v="1"/>
    <n v="3"/>
    <n v="1"/>
    <n v="2"/>
    <n v="1"/>
  </r>
  <r>
    <n v="1238911724"/>
    <x v="0"/>
    <d v="2002-01-02T00:00:00"/>
    <d v="2023-05-31T00:00:00"/>
    <m/>
    <x v="300"/>
    <n v="34320"/>
    <n v="1"/>
    <n v="1"/>
    <n v="2"/>
    <n v="3"/>
    <n v="3"/>
  </r>
  <r>
    <n v="1238911725"/>
    <x v="1"/>
    <d v="2002-01-08T00:00:00"/>
    <d v="2024-10-25T00:00:00"/>
    <d v="2025-04-23T00:00:00"/>
    <x v="255"/>
    <n v="44200"/>
    <n v="2"/>
    <n v="2"/>
    <n v="1"/>
    <n v="2"/>
    <n v="2"/>
  </r>
  <r>
    <n v="1238911726"/>
    <x v="1"/>
    <d v="1999-01-09T00:00:00"/>
    <d v="2019-02-26T00:00:00"/>
    <m/>
    <x v="301"/>
    <n v="42900"/>
    <n v="3"/>
    <n v="1"/>
    <n v="3"/>
    <n v="2"/>
    <n v="2"/>
  </r>
  <r>
    <n v="1238911727"/>
    <x v="1"/>
    <d v="2002-02-03T00:00:00"/>
    <d v="2021-05-19T00:00:00"/>
    <d v="2023-06-09T00:00:00"/>
    <x v="60"/>
    <n v="52500"/>
    <n v="3"/>
    <n v="3"/>
    <n v="1"/>
    <n v="3"/>
    <n v="3"/>
  </r>
  <r>
    <n v="1238911728"/>
    <x v="0"/>
    <d v="2002-03-14T00:00:00"/>
    <d v="2020-07-21T00:00:00"/>
    <d v="2022-03-31T00:00:00"/>
    <x v="233"/>
    <n v="43732.5"/>
    <n v="3"/>
    <n v="2"/>
    <n v="2"/>
    <n v="1"/>
    <n v="1"/>
  </r>
  <r>
    <n v="1238911729"/>
    <x v="0"/>
    <d v="2002-07-15T00:00:00"/>
    <d v="2021-11-26T00:00:00"/>
    <m/>
    <x v="30"/>
    <n v="28600"/>
    <n v="3"/>
    <n v="1"/>
    <n v="3"/>
    <n v="2"/>
    <n v="1"/>
  </r>
  <r>
    <n v="1238911730"/>
    <x v="0"/>
    <d v="2002-08-02T00:00:00"/>
    <d v="2024-04-30T00:00:00"/>
    <m/>
    <x v="30"/>
    <n v="28600"/>
    <n v="2"/>
    <n v="2"/>
    <n v="1"/>
    <n v="1"/>
    <n v="2"/>
  </r>
  <r>
    <n v="1238911731"/>
    <x v="0"/>
    <d v="1998-09-06T00:00:00"/>
    <d v="2020-04-12T00:00:00"/>
    <d v="2023-06-29T00:00:00"/>
    <x v="302"/>
    <n v="27300"/>
    <n v="1"/>
    <n v="3"/>
    <n v="1"/>
    <n v="1"/>
    <n v="1"/>
  </r>
  <r>
    <n v="1238911732"/>
    <x v="1"/>
    <d v="2002-10-18T00:00:00"/>
    <d v="2025-08-14T00:00:00"/>
    <m/>
    <x v="4"/>
    <n v="33800"/>
    <n v="3"/>
    <n v="3"/>
    <n v="1"/>
    <n v="3"/>
    <n v="2"/>
  </r>
  <r>
    <n v="1238911733"/>
    <x v="0"/>
    <d v="1999-01-08T00:00:00"/>
    <d v="2022-09-19T00:00:00"/>
    <d v="2023-11-15T00:00:00"/>
    <x v="70"/>
    <n v="33800"/>
    <n v="1"/>
    <n v="1"/>
    <n v="1"/>
    <n v="2"/>
    <n v="2"/>
  </r>
  <r>
    <n v="1238911734"/>
    <x v="1"/>
    <d v="2003-02-08T00:00:00"/>
    <d v="2025-02-15T00:00:00"/>
    <m/>
    <x v="119"/>
    <n v="31200"/>
    <n v="2"/>
    <n v="2"/>
    <n v="1"/>
    <n v="2"/>
    <n v="2"/>
  </r>
  <r>
    <n v="1238911735"/>
    <x v="0"/>
    <d v="2003-04-02T00:00:00"/>
    <d v="2023-06-30T00:00:00"/>
    <m/>
    <x v="303"/>
    <n v="39000"/>
    <n v="2"/>
    <n v="3"/>
    <n v="3"/>
    <n v="2"/>
    <n v="3"/>
  </r>
  <r>
    <n v="1238911736"/>
    <x v="1"/>
    <d v="2003-05-12T00:00:00"/>
    <d v="2022-03-14T00:00:00"/>
    <m/>
    <x v="30"/>
    <n v="31200"/>
    <n v="3"/>
    <n v="3"/>
    <n v="1"/>
    <n v="3"/>
    <n v="1"/>
  </r>
  <r>
    <n v="1238911737"/>
    <x v="1"/>
    <d v="2003-07-04T00:00:00"/>
    <d v="2021-10-03T00:00:00"/>
    <d v="2023-08-16T00:00:00"/>
    <x v="30"/>
    <n v="28600"/>
    <n v="3"/>
    <n v="3"/>
    <n v="1"/>
    <n v="3"/>
    <n v="2"/>
  </r>
  <r>
    <n v="1238911738"/>
    <x v="1"/>
    <d v="2003-09-25T00:00:00"/>
    <d v="2023-12-26T00:00:00"/>
    <m/>
    <x v="304"/>
    <n v="32343.75"/>
    <n v="1"/>
    <n v="2"/>
    <n v="2"/>
    <n v="3"/>
    <n v="2"/>
  </r>
  <r>
    <n v="1238911739"/>
    <x v="0"/>
    <d v="2003-11-06T00:00:00"/>
    <d v="2022-07-12T00:00:00"/>
    <m/>
    <x v="302"/>
    <n v="27300"/>
    <n v="1"/>
    <n v="2"/>
    <n v="2"/>
    <n v="1"/>
    <n v="3"/>
  </r>
  <r>
    <n v="1238911740"/>
    <x v="1"/>
    <d v="1999-01-30T00:00:00"/>
    <d v="2022-05-20T00:00:00"/>
    <d v="2025-09-10T00:00:00"/>
    <x v="305"/>
    <n v="55900"/>
    <n v="2"/>
    <n v="3"/>
    <n v="2"/>
    <n v="2"/>
    <n v="1"/>
  </r>
  <r>
    <n v="1238911741"/>
    <x v="1"/>
    <d v="2000-03-25T00:00:00"/>
    <d v="2021-09-18T00:00:00"/>
    <d v="2022-08-17T00:00:00"/>
    <x v="119"/>
    <n v="31668"/>
    <n v="2"/>
    <n v="3"/>
    <n v="1"/>
    <n v="3"/>
    <n v="2"/>
  </r>
  <r>
    <n v="1238911742"/>
    <x v="0"/>
    <d v="2004-09-07T00:00:00"/>
    <d v="2025-05-22T00:00:00"/>
    <m/>
    <x v="306"/>
    <n v="43758"/>
    <n v="3"/>
    <n v="1"/>
    <n v="2"/>
    <n v="1"/>
    <n v="2"/>
  </r>
  <r>
    <n v="1238911743"/>
    <x v="1"/>
    <d v="2004-11-30T00:00:00"/>
    <d v="2024-11-16T00:00:00"/>
    <m/>
    <x v="30"/>
    <n v="31200"/>
    <n v="3"/>
    <n v="1"/>
    <n v="3"/>
    <n v="3"/>
    <n v="2"/>
  </r>
  <r>
    <n v="1238911744"/>
    <x v="1"/>
    <d v="2005-05-12T00:00:00"/>
    <d v="2024-04-13T00:00:00"/>
    <d v="2025-09-10T00:00:00"/>
    <x v="11"/>
    <n v="27300"/>
    <n v="2"/>
    <n v="2"/>
    <n v="2"/>
    <n v="2"/>
    <n v="1"/>
  </r>
  <r>
    <n v="1238911745"/>
    <x v="0"/>
    <d v="2004-06-08T00:00:00"/>
    <d v="2024-12-05T00:00:00"/>
    <m/>
    <x v="296"/>
    <n v="31200"/>
    <n v="1"/>
    <n v="2"/>
    <n v="3"/>
    <n v="3"/>
    <n v="3"/>
  </r>
  <r>
    <n v="1238911746"/>
    <x v="0"/>
    <d v="2005-04-28T00:00:00"/>
    <d v="2023-04-24T00:00:00"/>
    <m/>
    <x v="11"/>
    <n v="28600"/>
    <n v="2"/>
    <n v="1"/>
    <n v="1"/>
    <n v="1"/>
    <n v="1"/>
  </r>
  <r>
    <n v="1238911747"/>
    <x v="0"/>
    <d v="2005-07-18T00:00:00"/>
    <d v="2023-08-08T00:00:00"/>
    <d v="2025-03-12T00:00:00"/>
    <x v="11"/>
    <n v="31200"/>
    <n v="3"/>
    <n v="1"/>
    <n v="1"/>
    <n v="2"/>
    <n v="1"/>
  </r>
  <r>
    <m/>
    <x v="2"/>
    <m/>
    <m/>
    <m/>
    <x v="30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E0EB4-CBA0-4C6F-AB49-A230A0D0880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12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 sortType="descending">
      <items count="309">
        <item x="171"/>
        <item x="217"/>
        <item x="60"/>
        <item x="292"/>
        <item x="283"/>
        <item x="234"/>
        <item x="7"/>
        <item x="174"/>
        <item x="16"/>
        <item x="66"/>
        <item x="118"/>
        <item x="8"/>
        <item x="240"/>
        <item x="294"/>
        <item x="149"/>
        <item x="32"/>
        <item x="54"/>
        <item x="89"/>
        <item x="119"/>
        <item x="256"/>
        <item x="15"/>
        <item x="82"/>
        <item x="109"/>
        <item x="166"/>
        <item x="261"/>
        <item x="235"/>
        <item x="206"/>
        <item x="229"/>
        <item x="233"/>
        <item x="306"/>
        <item x="127"/>
        <item x="216"/>
        <item x="69"/>
        <item x="150"/>
        <item x="275"/>
        <item x="285"/>
        <item x="35"/>
        <item x="48"/>
        <item x="33"/>
        <item x="78"/>
        <item x="73"/>
        <item x="255"/>
        <item x="237"/>
        <item x="191"/>
        <item x="279"/>
        <item x="181"/>
        <item x="2"/>
        <item x="273"/>
        <item x="177"/>
        <item x="49"/>
        <item x="193"/>
        <item x="201"/>
        <item x="224"/>
        <item x="222"/>
        <item x="188"/>
        <item x="79"/>
        <item x="25"/>
        <item x="105"/>
        <item x="27"/>
        <item x="287"/>
        <item x="180"/>
        <item x="215"/>
        <item x="247"/>
        <item x="266"/>
        <item x="113"/>
        <item x="104"/>
        <item x="154"/>
        <item x="103"/>
        <item x="236"/>
        <item x="99"/>
        <item x="18"/>
        <item x="3"/>
        <item x="47"/>
        <item x="30"/>
        <item x="44"/>
        <item x="213"/>
        <item x="268"/>
        <item x="304"/>
        <item x="128"/>
        <item x="220"/>
        <item x="98"/>
        <item x="102"/>
        <item x="114"/>
        <item x="55"/>
        <item x="21"/>
        <item x="42"/>
        <item x="179"/>
        <item x="144"/>
        <item x="170"/>
        <item x="83"/>
        <item x="108"/>
        <item x="207"/>
        <item x="107"/>
        <item x="111"/>
        <item x="197"/>
        <item x="85"/>
        <item x="160"/>
        <item x="53"/>
        <item x="117"/>
        <item x="56"/>
        <item x="203"/>
        <item x="133"/>
        <item x="94"/>
        <item x="129"/>
        <item x="145"/>
        <item x="115"/>
        <item x="297"/>
        <item x="219"/>
        <item x="305"/>
        <item x="212"/>
        <item x="43"/>
        <item x="200"/>
        <item x="122"/>
        <item x="176"/>
        <item x="63"/>
        <item x="13"/>
        <item x="301"/>
        <item x="288"/>
        <item x="67"/>
        <item x="37"/>
        <item x="36"/>
        <item x="87"/>
        <item x="38"/>
        <item x="76"/>
        <item x="4"/>
        <item x="17"/>
        <item x="70"/>
        <item x="296"/>
        <item x="284"/>
        <item x="11"/>
        <item x="5"/>
        <item x="20"/>
        <item x="153"/>
        <item x="228"/>
        <item x="302"/>
        <item x="282"/>
        <item x="277"/>
        <item x="300"/>
        <item x="303"/>
        <item x="286"/>
        <item x="163"/>
        <item x="40"/>
        <item x="12"/>
        <item x="88"/>
        <item x="46"/>
        <item x="6"/>
        <item x="269"/>
        <item x="239"/>
        <item x="238"/>
        <item x="100"/>
        <item x="202"/>
        <item x="164"/>
        <item x="120"/>
        <item x="262"/>
        <item x="230"/>
        <item x="130"/>
        <item x="84"/>
        <item x="258"/>
        <item x="186"/>
        <item x="91"/>
        <item x="227"/>
        <item x="211"/>
        <item x="226"/>
        <item x="161"/>
        <item x="134"/>
        <item x="62"/>
        <item x="183"/>
        <item x="168"/>
        <item x="172"/>
        <item x="184"/>
        <item x="210"/>
        <item x="162"/>
        <item x="253"/>
        <item x="263"/>
        <item x="64"/>
        <item x="81"/>
        <item x="260"/>
        <item x="97"/>
        <item x="77"/>
        <item x="159"/>
        <item x="182"/>
        <item x="71"/>
        <item x="231"/>
        <item x="195"/>
        <item x="259"/>
        <item x="290"/>
        <item x="93"/>
        <item x="58"/>
        <item x="271"/>
        <item x="270"/>
        <item x="26"/>
        <item x="121"/>
        <item x="74"/>
        <item x="10"/>
        <item x="14"/>
        <item x="192"/>
        <item x="155"/>
        <item x="19"/>
        <item x="51"/>
        <item x="291"/>
        <item x="34"/>
        <item x="165"/>
        <item x="241"/>
        <item x="23"/>
        <item x="244"/>
        <item x="276"/>
        <item x="272"/>
        <item x="295"/>
        <item x="264"/>
        <item x="293"/>
        <item x="274"/>
        <item x="158"/>
        <item x="299"/>
        <item x="250"/>
        <item x="204"/>
        <item x="151"/>
        <item x="185"/>
        <item x="126"/>
        <item x="223"/>
        <item x="123"/>
        <item x="116"/>
        <item x="298"/>
        <item x="156"/>
        <item x="221"/>
        <item x="57"/>
        <item x="254"/>
        <item x="198"/>
        <item x="86"/>
        <item x="124"/>
        <item x="106"/>
        <item x="136"/>
        <item x="167"/>
        <item x="196"/>
        <item x="139"/>
        <item x="135"/>
        <item x="138"/>
        <item x="75"/>
        <item x="257"/>
        <item x="148"/>
        <item x="199"/>
        <item x="143"/>
        <item x="147"/>
        <item x="125"/>
        <item x="131"/>
        <item x="218"/>
        <item x="205"/>
        <item x="132"/>
        <item x="278"/>
        <item x="243"/>
        <item x="242"/>
        <item x="289"/>
        <item x="214"/>
        <item x="137"/>
        <item x="68"/>
        <item x="225"/>
        <item x="80"/>
        <item x="90"/>
        <item x="28"/>
        <item x="72"/>
        <item x="146"/>
        <item x="267"/>
        <item x="252"/>
        <item x="265"/>
        <item x="209"/>
        <item x="41"/>
        <item x="52"/>
        <item x="101"/>
        <item x="141"/>
        <item x="24"/>
        <item x="0"/>
        <item x="59"/>
        <item x="140"/>
        <item x="178"/>
        <item x="112"/>
        <item x="157"/>
        <item x="152"/>
        <item x="232"/>
        <item x="245"/>
        <item x="246"/>
        <item x="251"/>
        <item x="9"/>
        <item x="281"/>
        <item x="173"/>
        <item x="61"/>
        <item x="175"/>
        <item x="31"/>
        <item x="45"/>
        <item x="96"/>
        <item x="194"/>
        <item x="280"/>
        <item x="50"/>
        <item x="39"/>
        <item x="65"/>
        <item x="92"/>
        <item x="110"/>
        <item x="29"/>
        <item x="190"/>
        <item x="1"/>
        <item x="95"/>
        <item x="189"/>
        <item x="22"/>
        <item x="142"/>
        <item x="169"/>
        <item x="187"/>
        <item x="249"/>
        <item x="248"/>
        <item x="208"/>
        <item x="3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309">
    <i>
      <x v="269"/>
    </i>
    <i>
      <x v="129"/>
    </i>
    <i>
      <x v="73"/>
    </i>
    <i>
      <x v="49"/>
    </i>
    <i>
      <x v="152"/>
    </i>
    <i>
      <x v="2"/>
    </i>
    <i>
      <x v="295"/>
    </i>
    <i>
      <x v="21"/>
    </i>
    <i>
      <x v="16"/>
    </i>
    <i>
      <x v="112"/>
    </i>
    <i>
      <x v="40"/>
    </i>
    <i>
      <x v="70"/>
    </i>
    <i>
      <x v="240"/>
    </i>
    <i>
      <x/>
    </i>
    <i>
      <x v="200"/>
    </i>
    <i>
      <x v="300"/>
    </i>
    <i>
      <x v="186"/>
    </i>
    <i>
      <x v="130"/>
    </i>
    <i>
      <x v="18"/>
    </i>
    <i>
      <x v="48"/>
    </i>
    <i>
      <x v="228"/>
    </i>
    <i>
      <x v="149"/>
    </i>
    <i>
      <x v="95"/>
    </i>
    <i>
      <x v="285"/>
    </i>
    <i>
      <x v="280"/>
    </i>
    <i>
      <x v="63"/>
    </i>
    <i>
      <x v="282"/>
    </i>
    <i>
      <x v="74"/>
    </i>
    <i>
      <x v="178"/>
    </i>
    <i>
      <x v="39"/>
    </i>
    <i>
      <x v="9"/>
    </i>
    <i>
      <x v="286"/>
    </i>
    <i>
      <x v="34"/>
    </i>
    <i>
      <x v="19"/>
    </i>
    <i>
      <x v="28"/>
    </i>
    <i>
      <x v="211"/>
    </i>
    <i>
      <x v="26"/>
    </i>
    <i>
      <x v="284"/>
    </i>
    <i>
      <x v="302"/>
    </i>
    <i>
      <x v="126"/>
    </i>
    <i>
      <x v="198"/>
    </i>
    <i>
      <x v="30"/>
    </i>
    <i>
      <x v="227"/>
    </i>
    <i>
      <x v="181"/>
    </i>
    <i>
      <x v="142"/>
    </i>
    <i>
      <x v="134"/>
    </i>
    <i>
      <x v="127"/>
    </i>
    <i>
      <x v="188"/>
    </i>
    <i>
      <x v="281"/>
    </i>
    <i>
      <x v="44"/>
    </i>
    <i>
      <x v="247"/>
    </i>
    <i>
      <x v="41"/>
    </i>
    <i>
      <x v="47"/>
    </i>
    <i>
      <x v="146"/>
    </i>
    <i>
      <x v="148"/>
    </i>
    <i>
      <x v="172"/>
    </i>
    <i>
      <x v="169"/>
    </i>
    <i>
      <x v="5"/>
    </i>
    <i>
      <x v="288"/>
    </i>
    <i>
      <x v="133"/>
    </i>
    <i>
      <x v="43"/>
    </i>
    <i>
      <x v="150"/>
    </i>
    <i>
      <x v="61"/>
    </i>
    <i>
      <x v="241"/>
    </i>
    <i>
      <x v="50"/>
    </i>
    <i>
      <x v="78"/>
    </i>
    <i>
      <x v="180"/>
    </i>
    <i>
      <x v="118"/>
    </i>
    <i>
      <x v="113"/>
    </i>
    <i>
      <x v="7"/>
    </i>
    <i>
      <x v="65"/>
    </i>
    <i>
      <x v="105"/>
    </i>
    <i>
      <x v="196"/>
    </i>
    <i>
      <x v="275"/>
    </i>
    <i>
      <x v="238"/>
    </i>
    <i>
      <x v="124"/>
    </i>
    <i>
      <x v="217"/>
    </i>
    <i>
      <x v="177"/>
    </i>
    <i>
      <x v="197"/>
    </i>
    <i>
      <x v="155"/>
    </i>
    <i>
      <x v="187"/>
    </i>
    <i>
      <x v="294"/>
    </i>
    <i>
      <x v="32"/>
    </i>
    <i>
      <x v="102"/>
    </i>
    <i>
      <x v="123"/>
    </i>
    <i>
      <x v="298"/>
    </i>
    <i>
      <x v="270"/>
    </i>
    <i>
      <x v="8"/>
    </i>
    <i>
      <x v="37"/>
    </i>
    <i>
      <x v="144"/>
    </i>
    <i>
      <x v="125"/>
    </i>
    <i>
      <x v="36"/>
    </i>
    <i>
      <x v="38"/>
    </i>
    <i>
      <x v="71"/>
    </i>
    <i>
      <x v="145"/>
    </i>
    <i>
      <x v="297"/>
    </i>
    <i>
      <x v="29"/>
    </i>
    <i>
      <x v="108"/>
    </i>
    <i>
      <x v="77"/>
    </i>
    <i>
      <x v="138"/>
    </i>
    <i>
      <x v="116"/>
    </i>
    <i>
      <x v="137"/>
    </i>
    <i>
      <x v="212"/>
    </i>
    <i>
      <x v="221"/>
    </i>
    <i>
      <x v="106"/>
    </i>
    <i>
      <x v="207"/>
    </i>
    <i>
      <x v="13"/>
    </i>
    <i>
      <x v="209"/>
    </i>
    <i>
      <x v="3"/>
    </i>
    <i>
      <x v="199"/>
    </i>
    <i>
      <x v="185"/>
    </i>
    <i>
      <x v="250"/>
    </i>
    <i>
      <x v="117"/>
    </i>
    <i>
      <x v="59"/>
    </i>
    <i>
      <x v="139"/>
    </i>
    <i>
      <x v="35"/>
    </i>
    <i>
      <x v="128"/>
    </i>
    <i>
      <x v="4"/>
    </i>
    <i>
      <x v="135"/>
    </i>
    <i>
      <x v="289"/>
    </i>
    <i>
      <x v="136"/>
    </i>
    <i>
      <x v="205"/>
    </i>
    <i>
      <x v="210"/>
    </i>
    <i>
      <x v="206"/>
    </i>
    <i>
      <x v="189"/>
    </i>
    <i>
      <x v="76"/>
    </i>
    <i>
      <x v="260"/>
    </i>
    <i>
      <x v="262"/>
    </i>
    <i>
      <x v="208"/>
    </i>
    <i>
      <x v="173"/>
    </i>
    <i>
      <x v="153"/>
    </i>
    <i>
      <x v="24"/>
    </i>
    <i>
      <x v="176"/>
    </i>
    <i>
      <x v="184"/>
    </i>
    <i>
      <x v="157"/>
    </i>
    <i>
      <x v="237"/>
    </i>
    <i>
      <x v="225"/>
    </i>
    <i>
      <x v="261"/>
    </i>
    <i>
      <x v="279"/>
    </i>
    <i>
      <x v="213"/>
    </i>
    <i>
      <x v="304"/>
    </i>
    <i>
      <x v="305"/>
    </i>
    <i>
      <x v="62"/>
    </i>
    <i>
      <x v="278"/>
    </i>
    <i>
      <x v="277"/>
    </i>
    <i>
      <x v="204"/>
    </i>
    <i>
      <x v="248"/>
    </i>
    <i>
      <x v="249"/>
    </i>
    <i>
      <x v="202"/>
    </i>
    <i>
      <x v="12"/>
    </i>
    <i>
      <x v="147"/>
    </i>
    <i>
      <x v="42"/>
    </i>
    <i>
      <x v="68"/>
    </i>
    <i>
      <x v="25"/>
    </i>
    <i>
      <x v="276"/>
    </i>
    <i>
      <x v="182"/>
    </i>
    <i>
      <x v="154"/>
    </i>
    <i>
      <x v="27"/>
    </i>
    <i>
      <x v="160"/>
    </i>
    <i>
      <x v="162"/>
    </i>
    <i>
      <x v="254"/>
    </i>
    <i>
      <x v="52"/>
    </i>
    <i>
      <x v="218"/>
    </i>
    <i>
      <x v="53"/>
    </i>
    <i>
      <x v="223"/>
    </i>
    <i>
      <x v="79"/>
    </i>
    <i>
      <x v="107"/>
    </i>
    <i>
      <x v="244"/>
    </i>
    <i>
      <x v="1"/>
    </i>
    <i>
      <x v="31"/>
    </i>
    <i>
      <x v="251"/>
    </i>
    <i>
      <x v="75"/>
    </i>
    <i>
      <x v="109"/>
    </i>
    <i>
      <x v="161"/>
    </i>
    <i>
      <x v="170"/>
    </i>
    <i>
      <x v="263"/>
    </i>
    <i>
      <x v="306"/>
    </i>
    <i>
      <x v="91"/>
    </i>
    <i>
      <x v="245"/>
    </i>
    <i>
      <x v="214"/>
    </i>
    <i>
      <x v="100"/>
    </i>
    <i>
      <x v="51"/>
    </i>
    <i>
      <x v="111"/>
    </i>
    <i>
      <x v="239"/>
    </i>
    <i>
      <x v="226"/>
    </i>
    <i>
      <x v="94"/>
    </i>
    <i>
      <x v="232"/>
    </i>
    <i>
      <x v="183"/>
    </i>
    <i>
      <x v="195"/>
    </i>
    <i>
      <x v="296"/>
    </i>
    <i>
      <x v="299"/>
    </i>
    <i>
      <x v="54"/>
    </i>
    <i>
      <x v="303"/>
    </i>
    <i>
      <x v="158"/>
    </i>
    <i>
      <x v="216"/>
    </i>
    <i>
      <x v="166"/>
    </i>
    <i>
      <x v="45"/>
    </i>
    <i>
      <x v="60"/>
    </i>
    <i>
      <x v="86"/>
    </i>
    <i>
      <x v="272"/>
    </i>
    <i>
      <x v="168"/>
    </i>
    <i>
      <x v="88"/>
    </i>
    <i>
      <x v="167"/>
    </i>
    <i>
      <x v="231"/>
    </i>
    <i>
      <x v="23"/>
    </i>
    <i>
      <x v="201"/>
    </i>
    <i>
      <x v="151"/>
    </i>
    <i>
      <x v="140"/>
    </i>
    <i>
      <x v="171"/>
    </i>
    <i>
      <x v="163"/>
    </i>
    <i>
      <x v="96"/>
    </i>
    <i>
      <x v="179"/>
    </i>
    <i>
      <x v="274"/>
    </i>
    <i>
      <x v="222"/>
    </i>
    <i>
      <x v="66"/>
    </i>
    <i>
      <x v="132"/>
    </i>
    <i>
      <x v="215"/>
    </i>
    <i>
      <x v="33"/>
    </i>
    <i>
      <x v="14"/>
    </i>
    <i>
      <x v="259"/>
    </i>
    <i>
      <x v="104"/>
    </i>
    <i>
      <x v="87"/>
    </i>
    <i>
      <x v="301"/>
    </i>
    <i>
      <x v="267"/>
    </i>
    <i>
      <x v="271"/>
    </i>
    <i>
      <x v="233"/>
    </i>
    <i>
      <x v="235"/>
    </i>
    <i>
      <x v="252"/>
    </i>
    <i>
      <x v="230"/>
    </i>
    <i>
      <x v="234"/>
    </i>
    <i>
      <x v="164"/>
    </i>
    <i>
      <x v="101"/>
    </i>
    <i>
      <x v="246"/>
    </i>
    <i>
      <x v="243"/>
    </i>
    <i>
      <x v="103"/>
    </i>
    <i>
      <x v="242"/>
    </i>
    <i>
      <x v="219"/>
    </i>
    <i>
      <x v="191"/>
    </i>
    <i>
      <x v="10"/>
    </i>
    <i>
      <x v="98"/>
    </i>
    <i>
      <x v="220"/>
    </i>
    <i>
      <x v="82"/>
    </i>
    <i>
      <x v="64"/>
    </i>
    <i>
      <x v="273"/>
    </i>
    <i>
      <x v="93"/>
    </i>
    <i>
      <x v="22"/>
    </i>
    <i>
      <x v="90"/>
    </i>
    <i>
      <x v="92"/>
    </i>
    <i>
      <x v="229"/>
    </i>
    <i>
      <x v="57"/>
    </i>
    <i>
      <x v="67"/>
    </i>
    <i>
      <x v="81"/>
    </i>
    <i>
      <x v="266"/>
    </i>
    <i>
      <x v="69"/>
    </i>
    <i>
      <x v="80"/>
    </i>
    <i>
      <x v="287"/>
    </i>
    <i>
      <x v="293"/>
    </i>
    <i>
      <x v="159"/>
    </i>
    <i>
      <x v="256"/>
    </i>
    <i>
      <x v="17"/>
    </i>
    <i>
      <x v="143"/>
    </i>
    <i>
      <x v="121"/>
    </i>
    <i>
      <x v="156"/>
    </i>
    <i>
      <x v="89"/>
    </i>
    <i>
      <x v="175"/>
    </i>
    <i>
      <x v="255"/>
    </i>
    <i>
      <x v="55"/>
    </i>
    <i>
      <x v="236"/>
    </i>
    <i>
      <x v="192"/>
    </i>
    <i>
      <x v="258"/>
    </i>
    <i>
      <x v="253"/>
    </i>
    <i>
      <x v="292"/>
    </i>
    <i>
      <x v="174"/>
    </i>
    <i>
      <x v="114"/>
    </i>
    <i>
      <x v="165"/>
    </i>
    <i>
      <x v="283"/>
    </i>
    <i>
      <x v="224"/>
    </i>
    <i>
      <x v="99"/>
    </i>
    <i>
      <x v="83"/>
    </i>
    <i>
      <x v="97"/>
    </i>
    <i>
      <x v="265"/>
    </i>
    <i>
      <x v="290"/>
    </i>
    <i>
      <x v="72"/>
    </i>
    <i>
      <x v="110"/>
    </i>
    <i>
      <x v="85"/>
    </i>
    <i>
      <x v="264"/>
    </i>
    <i>
      <x v="141"/>
    </i>
    <i>
      <x v="291"/>
    </i>
    <i>
      <x v="122"/>
    </i>
    <i>
      <x v="119"/>
    </i>
    <i>
      <x v="120"/>
    </i>
    <i>
      <x v="15"/>
    </i>
    <i>
      <x v="257"/>
    </i>
    <i>
      <x v="58"/>
    </i>
    <i>
      <x v="190"/>
    </i>
    <i>
      <x v="56"/>
    </i>
    <i>
      <x v="268"/>
    </i>
    <i>
      <x v="203"/>
    </i>
    <i>
      <x v="84"/>
    </i>
    <i>
      <x v="131"/>
    </i>
    <i>
      <x v="20"/>
    </i>
    <i>
      <x v="194"/>
    </i>
    <i>
      <x v="115"/>
    </i>
    <i>
      <x v="193"/>
    </i>
    <i>
      <x v="11"/>
    </i>
    <i>
      <x v="6"/>
    </i>
    <i>
      <x v="46"/>
    </i>
    <i>
      <x v="307"/>
    </i>
    <i t="grand">
      <x/>
    </i>
  </rowItems>
  <colItems count="1">
    <i/>
  </colItems>
  <dataFields count="1">
    <dataField name="Sum of EMPLOYEE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B421D-89C4-4A98-8C30-2CDADEC84D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357" firstHeaderRow="1" firstDataRow="1" firstDataCol="1"/>
  <pivotFields count="12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309">
        <item x="171"/>
        <item x="217"/>
        <item x="60"/>
        <item x="292"/>
        <item x="283"/>
        <item x="234"/>
        <item x="7"/>
        <item x="174"/>
        <item x="16"/>
        <item x="66"/>
        <item x="118"/>
        <item x="8"/>
        <item x="240"/>
        <item x="294"/>
        <item x="149"/>
        <item x="32"/>
        <item x="54"/>
        <item x="89"/>
        <item x="119"/>
        <item x="256"/>
        <item x="15"/>
        <item x="82"/>
        <item x="109"/>
        <item x="166"/>
        <item x="261"/>
        <item x="235"/>
        <item x="206"/>
        <item x="229"/>
        <item x="233"/>
        <item x="306"/>
        <item x="127"/>
        <item x="216"/>
        <item x="69"/>
        <item x="150"/>
        <item x="275"/>
        <item x="285"/>
        <item x="35"/>
        <item x="48"/>
        <item x="33"/>
        <item x="78"/>
        <item x="73"/>
        <item x="255"/>
        <item x="237"/>
        <item x="191"/>
        <item x="279"/>
        <item x="181"/>
        <item x="2"/>
        <item x="273"/>
        <item x="177"/>
        <item x="49"/>
        <item x="193"/>
        <item x="201"/>
        <item x="224"/>
        <item x="222"/>
        <item x="188"/>
        <item x="79"/>
        <item x="25"/>
        <item x="105"/>
        <item x="27"/>
        <item x="287"/>
        <item x="180"/>
        <item x="215"/>
        <item x="247"/>
        <item x="266"/>
        <item x="113"/>
        <item x="104"/>
        <item x="154"/>
        <item x="103"/>
        <item x="236"/>
        <item x="99"/>
        <item x="18"/>
        <item x="3"/>
        <item x="47"/>
        <item x="30"/>
        <item x="44"/>
        <item x="213"/>
        <item x="268"/>
        <item x="304"/>
        <item x="128"/>
        <item x="220"/>
        <item x="98"/>
        <item x="102"/>
        <item x="114"/>
        <item x="55"/>
        <item x="21"/>
        <item x="42"/>
        <item x="179"/>
        <item x="144"/>
        <item x="170"/>
        <item x="83"/>
        <item x="108"/>
        <item x="207"/>
        <item x="107"/>
        <item x="111"/>
        <item x="197"/>
        <item x="85"/>
        <item x="160"/>
        <item x="53"/>
        <item x="117"/>
        <item x="56"/>
        <item x="203"/>
        <item x="133"/>
        <item x="94"/>
        <item x="129"/>
        <item x="145"/>
        <item x="115"/>
        <item x="297"/>
        <item x="219"/>
        <item x="305"/>
        <item x="212"/>
        <item x="43"/>
        <item x="200"/>
        <item x="122"/>
        <item x="176"/>
        <item x="63"/>
        <item x="13"/>
        <item x="301"/>
        <item x="288"/>
        <item x="67"/>
        <item x="37"/>
        <item x="36"/>
        <item x="87"/>
        <item x="38"/>
        <item x="76"/>
        <item x="4"/>
        <item x="17"/>
        <item x="70"/>
        <item x="296"/>
        <item x="284"/>
        <item x="11"/>
        <item x="5"/>
        <item x="20"/>
        <item x="153"/>
        <item x="228"/>
        <item x="302"/>
        <item x="282"/>
        <item x="277"/>
        <item x="300"/>
        <item x="303"/>
        <item x="286"/>
        <item x="163"/>
        <item x="40"/>
        <item x="12"/>
        <item x="88"/>
        <item x="46"/>
        <item x="6"/>
        <item x="269"/>
        <item x="239"/>
        <item x="238"/>
        <item x="100"/>
        <item x="202"/>
        <item x="164"/>
        <item x="120"/>
        <item x="262"/>
        <item x="230"/>
        <item x="130"/>
        <item x="84"/>
        <item x="258"/>
        <item x="186"/>
        <item x="91"/>
        <item x="227"/>
        <item x="211"/>
        <item x="226"/>
        <item x="161"/>
        <item x="134"/>
        <item x="62"/>
        <item x="183"/>
        <item x="168"/>
        <item x="172"/>
        <item x="184"/>
        <item x="210"/>
        <item x="162"/>
        <item x="253"/>
        <item x="263"/>
        <item x="64"/>
        <item x="81"/>
        <item x="260"/>
        <item x="97"/>
        <item x="77"/>
        <item x="159"/>
        <item x="182"/>
        <item x="71"/>
        <item x="231"/>
        <item x="195"/>
        <item x="259"/>
        <item x="290"/>
        <item x="93"/>
        <item x="58"/>
        <item x="271"/>
        <item x="270"/>
        <item x="26"/>
        <item x="121"/>
        <item x="74"/>
        <item x="10"/>
        <item x="14"/>
        <item x="192"/>
        <item x="155"/>
        <item x="19"/>
        <item x="51"/>
        <item x="291"/>
        <item x="34"/>
        <item x="165"/>
        <item x="241"/>
        <item x="23"/>
        <item x="244"/>
        <item x="276"/>
        <item x="272"/>
        <item x="295"/>
        <item x="264"/>
        <item x="293"/>
        <item x="274"/>
        <item x="158"/>
        <item x="299"/>
        <item x="250"/>
        <item x="204"/>
        <item x="151"/>
        <item x="185"/>
        <item x="126"/>
        <item x="223"/>
        <item x="123"/>
        <item x="116"/>
        <item x="298"/>
        <item x="156"/>
        <item x="221"/>
        <item x="57"/>
        <item x="254"/>
        <item x="198"/>
        <item x="86"/>
        <item x="124"/>
        <item x="106"/>
        <item x="136"/>
        <item x="167"/>
        <item x="196"/>
        <item x="139"/>
        <item x="135"/>
        <item x="138"/>
        <item x="75"/>
        <item x="257"/>
        <item x="148"/>
        <item x="199"/>
        <item x="143"/>
        <item x="147"/>
        <item x="125"/>
        <item x="131"/>
        <item x="218"/>
        <item x="205"/>
        <item x="132"/>
        <item x="278"/>
        <item x="243"/>
        <item x="242"/>
        <item x="289"/>
        <item x="214"/>
        <item x="137"/>
        <item x="68"/>
        <item x="225"/>
        <item x="80"/>
        <item x="90"/>
        <item x="28"/>
        <item x="72"/>
        <item x="146"/>
        <item x="267"/>
        <item x="252"/>
        <item x="265"/>
        <item x="209"/>
        <item x="41"/>
        <item x="52"/>
        <item x="101"/>
        <item x="141"/>
        <item x="24"/>
        <item x="0"/>
        <item x="59"/>
        <item x="140"/>
        <item x="178"/>
        <item x="112"/>
        <item x="157"/>
        <item x="152"/>
        <item x="232"/>
        <item x="245"/>
        <item x="246"/>
        <item x="251"/>
        <item x="9"/>
        <item x="281"/>
        <item x="173"/>
        <item x="61"/>
        <item x="175"/>
        <item x="31"/>
        <item x="45"/>
        <item x="96"/>
        <item x="194"/>
        <item x="280"/>
        <item x="50"/>
        <item x="39"/>
        <item x="65"/>
        <item x="92"/>
        <item x="110"/>
        <item x="29"/>
        <item x="190"/>
        <item x="1"/>
        <item x="95"/>
        <item x="189"/>
        <item x="22"/>
        <item x="142"/>
        <item x="169"/>
        <item x="187"/>
        <item x="249"/>
        <item x="248"/>
        <item x="208"/>
        <item x="30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2">
    <field x="1"/>
    <field x="5"/>
  </rowFields>
  <rowItems count="354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13"/>
    </i>
    <i r="1">
      <x v="16"/>
    </i>
    <i r="1">
      <x v="18"/>
    </i>
    <i r="1">
      <x v="19"/>
    </i>
    <i r="1">
      <x v="21"/>
    </i>
    <i r="1">
      <x v="23"/>
    </i>
    <i r="1">
      <x v="24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5"/>
    </i>
    <i r="1">
      <x v="36"/>
    </i>
    <i r="1">
      <x v="37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48"/>
    </i>
    <i r="1">
      <x v="49"/>
    </i>
    <i r="1">
      <x v="52"/>
    </i>
    <i r="1">
      <x v="54"/>
    </i>
    <i r="1">
      <x v="55"/>
    </i>
    <i r="1">
      <x v="56"/>
    </i>
    <i r="1">
      <x v="57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8"/>
    </i>
    <i r="1">
      <x v="73"/>
    </i>
    <i r="1">
      <x v="74"/>
    </i>
    <i r="1">
      <x v="75"/>
    </i>
    <i r="1">
      <x v="78"/>
    </i>
    <i r="1">
      <x v="80"/>
    </i>
    <i r="1">
      <x v="81"/>
    </i>
    <i r="1">
      <x v="82"/>
    </i>
    <i r="1">
      <x v="83"/>
    </i>
    <i r="1">
      <x v="84"/>
    </i>
    <i r="1">
      <x v="87"/>
    </i>
    <i r="1">
      <x v="89"/>
    </i>
    <i r="1">
      <x v="90"/>
    </i>
    <i r="1">
      <x v="91"/>
    </i>
    <i r="1">
      <x v="95"/>
    </i>
    <i r="1">
      <x v="97"/>
    </i>
    <i r="1">
      <x v="98"/>
    </i>
    <i r="1">
      <x v="99"/>
    </i>
    <i r="1">
      <x v="100"/>
    </i>
    <i r="1">
      <x v="102"/>
    </i>
    <i r="1">
      <x v="103"/>
    </i>
    <i r="1">
      <x v="104"/>
    </i>
    <i r="1">
      <x v="105"/>
    </i>
    <i r="1">
      <x v="106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8"/>
    </i>
    <i r="1">
      <x v="121"/>
    </i>
    <i r="1">
      <x v="122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2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8"/>
    </i>
    <i r="1">
      <x v="149"/>
    </i>
    <i r="1">
      <x v="150"/>
    </i>
    <i r="1">
      <x v="151"/>
    </i>
    <i r="1">
      <x v="152"/>
    </i>
    <i r="1">
      <x v="154"/>
    </i>
    <i r="1">
      <x v="155"/>
    </i>
    <i r="1">
      <x v="156"/>
    </i>
    <i r="1">
      <x v="158"/>
    </i>
    <i r="1">
      <x v="159"/>
    </i>
    <i r="1">
      <x v="160"/>
    </i>
    <i r="1">
      <x v="164"/>
    </i>
    <i r="1">
      <x v="165"/>
    </i>
    <i r="1">
      <x v="166"/>
    </i>
    <i r="1">
      <x v="168"/>
    </i>
    <i r="1">
      <x v="169"/>
    </i>
    <i r="1">
      <x v="170"/>
    </i>
    <i r="1">
      <x v="172"/>
    </i>
    <i r="1">
      <x v="173"/>
    </i>
    <i r="1">
      <x v="174"/>
    </i>
    <i r="1">
      <x v="177"/>
    </i>
    <i r="1">
      <x v="178"/>
    </i>
    <i r="1">
      <x v="179"/>
    </i>
    <i r="1">
      <x v="180"/>
    </i>
    <i r="1">
      <x v="181"/>
    </i>
    <i r="1">
      <x v="183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3"/>
    </i>
    <i r="1">
      <x v="194"/>
    </i>
    <i r="1">
      <x v="195"/>
    </i>
    <i r="1">
      <x v="196"/>
    </i>
    <i r="1">
      <x v="197"/>
    </i>
    <i r="1">
      <x v="200"/>
    </i>
    <i r="1">
      <x v="201"/>
    </i>
    <i r="1">
      <x v="204"/>
    </i>
    <i r="1">
      <x v="206"/>
    </i>
    <i r="1">
      <x v="210"/>
    </i>
    <i r="1">
      <x v="213"/>
    </i>
    <i r="1">
      <x v="214"/>
    </i>
    <i r="1">
      <x v="215"/>
    </i>
    <i r="1">
      <x v="216"/>
    </i>
    <i r="1">
      <x v="217"/>
    </i>
    <i r="1">
      <x v="220"/>
    </i>
    <i r="1">
      <x v="223"/>
    </i>
    <i r="1">
      <x v="224"/>
    </i>
    <i r="1">
      <x v="227"/>
    </i>
    <i r="1">
      <x v="228"/>
    </i>
    <i r="1">
      <x v="229"/>
    </i>
    <i r="1">
      <x v="230"/>
    </i>
    <i r="1">
      <x v="231"/>
    </i>
    <i r="1">
      <x v="233"/>
    </i>
    <i r="1">
      <x v="234"/>
    </i>
    <i r="1">
      <x v="235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5"/>
    </i>
    <i r="1">
      <x v="257"/>
    </i>
    <i r="1">
      <x v="258"/>
    </i>
    <i r="1">
      <x v="259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3"/>
    </i>
    <i r="1">
      <x v="274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2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>
      <x v="1"/>
    </i>
    <i r="1">
      <x/>
    </i>
    <i r="1">
      <x v="2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0"/>
    </i>
    <i r="1">
      <x v="34"/>
    </i>
    <i r="1">
      <x v="39"/>
    </i>
    <i r="1">
      <x v="40"/>
    </i>
    <i r="1">
      <x v="41"/>
    </i>
    <i r="1">
      <x v="44"/>
    </i>
    <i r="1">
      <x v="45"/>
    </i>
    <i r="1">
      <x v="48"/>
    </i>
    <i r="1">
      <x v="49"/>
    </i>
    <i r="1">
      <x v="50"/>
    </i>
    <i r="1">
      <x v="51"/>
    </i>
    <i r="1">
      <x v="53"/>
    </i>
    <i r="1">
      <x v="58"/>
    </i>
    <i r="1">
      <x v="61"/>
    </i>
    <i r="1">
      <x v="63"/>
    </i>
    <i r="1">
      <x v="66"/>
    </i>
    <i r="1">
      <x v="67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5"/>
    </i>
    <i r="1">
      <x v="86"/>
    </i>
    <i r="1">
      <x v="88"/>
    </i>
    <i r="1">
      <x v="92"/>
    </i>
    <i r="1">
      <x v="93"/>
    </i>
    <i r="1">
      <x v="94"/>
    </i>
    <i r="1">
      <x v="95"/>
    </i>
    <i r="1">
      <x v="96"/>
    </i>
    <i r="1">
      <x v="101"/>
    </i>
    <i r="1">
      <x v="102"/>
    </i>
    <i r="1">
      <x v="107"/>
    </i>
    <i r="1">
      <x v="108"/>
    </i>
    <i r="1">
      <x v="109"/>
    </i>
    <i r="1">
      <x v="116"/>
    </i>
    <i r="1">
      <x v="117"/>
    </i>
    <i r="1">
      <x v="118"/>
    </i>
    <i r="1">
      <x v="119"/>
    </i>
    <i r="1">
      <x v="120"/>
    </i>
    <i r="1">
      <x v="123"/>
    </i>
    <i r="1">
      <x v="124"/>
    </i>
    <i r="1">
      <x v="125"/>
    </i>
    <i r="1">
      <x v="129"/>
    </i>
    <i r="1">
      <x v="131"/>
    </i>
    <i r="1">
      <x v="133"/>
    </i>
    <i r="1">
      <x v="142"/>
    </i>
    <i r="1">
      <x v="145"/>
    </i>
    <i r="1">
      <x v="147"/>
    </i>
    <i r="1">
      <x v="148"/>
    </i>
    <i r="1">
      <x v="149"/>
    </i>
    <i r="1">
      <x v="150"/>
    </i>
    <i r="1">
      <x v="152"/>
    </i>
    <i r="1">
      <x v="153"/>
    </i>
    <i r="1">
      <x v="155"/>
    </i>
    <i r="1">
      <x v="157"/>
    </i>
    <i r="1">
      <x v="161"/>
    </i>
    <i r="1">
      <x v="162"/>
    </i>
    <i r="1">
      <x v="163"/>
    </i>
    <i r="1">
      <x v="167"/>
    </i>
    <i r="1">
      <x v="169"/>
    </i>
    <i r="1">
      <x v="171"/>
    </i>
    <i r="1">
      <x v="175"/>
    </i>
    <i r="1">
      <x v="176"/>
    </i>
    <i r="1">
      <x v="182"/>
    </i>
    <i r="1">
      <x v="184"/>
    </i>
    <i r="1">
      <x v="185"/>
    </i>
    <i r="1">
      <x v="186"/>
    </i>
    <i r="1">
      <x v="188"/>
    </i>
    <i r="1">
      <x v="192"/>
    </i>
    <i r="1">
      <x v="197"/>
    </i>
    <i r="1">
      <x v="198"/>
    </i>
    <i r="1">
      <x v="199"/>
    </i>
    <i r="1">
      <x v="200"/>
    </i>
    <i r="1">
      <x v="202"/>
    </i>
    <i r="1">
      <x v="203"/>
    </i>
    <i r="1">
      <x v="205"/>
    </i>
    <i r="1">
      <x v="207"/>
    </i>
    <i r="1">
      <x v="208"/>
    </i>
    <i r="1">
      <x v="209"/>
    </i>
    <i r="1">
      <x v="211"/>
    </i>
    <i r="1">
      <x v="212"/>
    </i>
    <i r="1">
      <x v="218"/>
    </i>
    <i r="1">
      <x v="219"/>
    </i>
    <i r="1">
      <x v="221"/>
    </i>
    <i r="1">
      <x v="222"/>
    </i>
    <i r="1">
      <x v="225"/>
    </i>
    <i r="1">
      <x v="226"/>
    </i>
    <i r="1">
      <x v="232"/>
    </i>
    <i r="1">
      <x v="236"/>
    </i>
    <i r="1">
      <x v="240"/>
    </i>
    <i r="1">
      <x v="247"/>
    </i>
    <i r="1">
      <x v="254"/>
    </i>
    <i r="1">
      <x v="256"/>
    </i>
    <i r="1">
      <x v="260"/>
    </i>
    <i r="1">
      <x v="261"/>
    </i>
    <i r="1">
      <x v="262"/>
    </i>
    <i r="1">
      <x v="269"/>
    </i>
    <i r="1">
      <x v="270"/>
    </i>
    <i r="1">
      <x v="272"/>
    </i>
    <i r="1">
      <x v="275"/>
    </i>
    <i r="1">
      <x v="280"/>
    </i>
    <i r="1">
      <x v="290"/>
    </i>
    <i r="1">
      <x v="291"/>
    </i>
    <i r="1">
      <x v="293"/>
    </i>
    <i r="1">
      <x v="300"/>
    </i>
    <i r="1">
      <x v="302"/>
    </i>
    <i>
      <x v="2"/>
    </i>
    <i r="1">
      <x v="307"/>
    </i>
    <i t="grand">
      <x/>
    </i>
  </rowItems>
  <colItems count="1">
    <i/>
  </colItems>
  <dataFields count="1">
    <dataField name="Max of SALARY" fld="6" subtotal="max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8"/>
  <sheetViews>
    <sheetView topLeftCell="H199" zoomScaleNormal="100" workbookViewId="0">
      <selection activeCell="P10" sqref="P10"/>
    </sheetView>
  </sheetViews>
  <sheetFormatPr defaultColWidth="8.83984375" defaultRowHeight="14.4" x14ac:dyDescent="0.55000000000000004"/>
  <cols>
    <col min="1" max="4" width="22" style="1" customWidth="1"/>
    <col min="5" max="5" width="19.62890625" style="1" bestFit="1" customWidth="1"/>
    <col min="6" max="6" width="19.62890625" style="1" customWidth="1"/>
    <col min="7" max="7" width="41.26171875" style="1" bestFit="1" customWidth="1"/>
    <col min="8" max="8" width="14.41796875" style="1" customWidth="1"/>
    <col min="9" max="13" width="21.578125" style="8" customWidth="1"/>
    <col min="14" max="14" width="14.3671875" style="1" customWidth="1"/>
    <col min="15" max="15" width="15.15625" style="1" customWidth="1"/>
    <col min="16" max="16384" width="8.83984375" style="1"/>
  </cols>
  <sheetData>
    <row r="1" spans="1:1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5" t="s">
        <v>344</v>
      </c>
      <c r="G1" s="1" t="s">
        <v>5</v>
      </c>
      <c r="H1" s="2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1" t="s">
        <v>345</v>
      </c>
      <c r="O1" s="1" t="s">
        <v>346</v>
      </c>
    </row>
    <row r="2" spans="1:15" x14ac:dyDescent="0.55000000000000004">
      <c r="A2" s="3">
        <v>1238911001</v>
      </c>
      <c r="B2" s="1" t="s">
        <v>12</v>
      </c>
      <c r="C2" s="6">
        <v>19112</v>
      </c>
      <c r="D2" s="6">
        <v>30963</v>
      </c>
      <c r="E2" s="6">
        <v>36488</v>
      </c>
      <c r="F2" s="6"/>
      <c r="G2" s="1" t="s">
        <v>13</v>
      </c>
      <c r="H2" s="2">
        <v>31200</v>
      </c>
      <c r="I2" s="7">
        <v>3</v>
      </c>
      <c r="J2" s="7">
        <v>3</v>
      </c>
      <c r="K2" s="7">
        <v>2</v>
      </c>
      <c r="L2" s="7">
        <v>1</v>
      </c>
      <c r="M2" s="7">
        <v>1</v>
      </c>
      <c r="N2" s="1">
        <f>ROUND(AVERAGE(I2:M2),0)</f>
        <v>2</v>
      </c>
      <c r="O2" s="1" t="str">
        <f>IF(N2=1,"Below Expectations",IF(N2=2,"Meets Expectations","Exceeds Expectations"))</f>
        <v>Meets Expectations</v>
      </c>
    </row>
    <row r="3" spans="1:15" x14ac:dyDescent="0.55000000000000004">
      <c r="A3" s="3">
        <v>1238911002</v>
      </c>
      <c r="B3" s="1" t="s">
        <v>14</v>
      </c>
      <c r="C3" s="6">
        <v>19833</v>
      </c>
      <c r="D3" s="6">
        <v>36350</v>
      </c>
      <c r="E3" s="6"/>
      <c r="F3" s="15" t="str">
        <f ca="1">IF(E3="",DATEDIF(D3,TODAY(),"y")&amp; "Years" &amp;DATEDIF(D3,TODAY(),"ym")&amp; "Months"&amp;DATEDIF(D3,TODAY(),"md") &amp;"Days",DATEDIF(D3,E3,"y")&amp; "Years" &amp;DATEDIF(D3,E3,"ym")&amp; "Months"&amp;DATEDIF(D3,E3,"md") &amp;"Days")</f>
        <v>26Years10Months4Days</v>
      </c>
      <c r="G3" s="1" t="s">
        <v>13</v>
      </c>
      <c r="H3" s="2">
        <v>26000</v>
      </c>
      <c r="I3" s="7">
        <v>1</v>
      </c>
      <c r="J3" s="7">
        <v>3</v>
      </c>
      <c r="K3" s="7">
        <v>1</v>
      </c>
      <c r="L3" s="7">
        <v>1</v>
      </c>
      <c r="M3" s="7">
        <v>3</v>
      </c>
      <c r="N3" s="1">
        <f>ROUND(AVERAGE(I3:M3),0)</f>
        <v>2</v>
      </c>
      <c r="O3" s="1" t="str">
        <f>IF(N3=1,"Below Expectations",IF(N3=2,"Meets Expectations","Exceeds Expectations"))</f>
        <v>Meets Expectations</v>
      </c>
    </row>
    <row r="4" spans="1:15" x14ac:dyDescent="0.55000000000000004">
      <c r="A4" s="3">
        <v>1238911003</v>
      </c>
      <c r="B4" s="1" t="s">
        <v>12</v>
      </c>
      <c r="C4" s="6">
        <v>20527</v>
      </c>
      <c r="D4" s="6">
        <v>33014</v>
      </c>
      <c r="E4" s="6"/>
      <c r="F4" s="6"/>
      <c r="G4" s="1" t="s">
        <v>13</v>
      </c>
      <c r="H4" s="2">
        <v>30602</v>
      </c>
      <c r="I4" s="7">
        <v>2</v>
      </c>
      <c r="J4" s="7">
        <v>3</v>
      </c>
      <c r="K4" s="7">
        <v>1</v>
      </c>
      <c r="L4" s="7">
        <v>1</v>
      </c>
      <c r="M4" s="7">
        <v>2</v>
      </c>
      <c r="N4" s="1">
        <f t="shared" ref="N4:N6" si="0">ROUND(AVERAGE(I4:M4),0)</f>
        <v>2</v>
      </c>
      <c r="O4" s="1" t="str">
        <f t="shared" ref="O4:O67" si="1">IF(N4=1,"Below Expectations",IF(N4=2,"Meets Expectations","Exceeds Expectations"))</f>
        <v>Meets Expectations</v>
      </c>
    </row>
    <row r="5" spans="1:15" x14ac:dyDescent="0.55000000000000004">
      <c r="A5" s="3">
        <v>1238911004</v>
      </c>
      <c r="B5" s="1" t="s">
        <v>12</v>
      </c>
      <c r="C5" s="6">
        <v>20864</v>
      </c>
      <c r="D5" s="6">
        <v>36995</v>
      </c>
      <c r="E5" s="6"/>
      <c r="F5" s="6"/>
      <c r="G5" s="1" t="s">
        <v>15</v>
      </c>
      <c r="H5" s="2">
        <v>29120</v>
      </c>
      <c r="I5" s="7">
        <v>2</v>
      </c>
      <c r="J5" s="7">
        <v>3</v>
      </c>
      <c r="K5" s="7">
        <v>2</v>
      </c>
      <c r="L5" s="7">
        <v>3</v>
      </c>
      <c r="M5" s="7">
        <v>1</v>
      </c>
      <c r="N5" s="1">
        <f t="shared" si="0"/>
        <v>2</v>
      </c>
      <c r="O5" s="1" t="str">
        <f t="shared" si="1"/>
        <v>Meets Expectations</v>
      </c>
    </row>
    <row r="6" spans="1:15" x14ac:dyDescent="0.55000000000000004">
      <c r="A6" s="3">
        <v>1238911005</v>
      </c>
      <c r="B6" s="1" t="s">
        <v>12</v>
      </c>
      <c r="C6" s="6">
        <v>21034</v>
      </c>
      <c r="D6" s="6">
        <v>36006</v>
      </c>
      <c r="E6" s="6"/>
      <c r="F6" s="6"/>
      <c r="G6" s="1" t="s">
        <v>16</v>
      </c>
      <c r="H6" s="2">
        <v>75000</v>
      </c>
      <c r="I6" s="7">
        <v>1</v>
      </c>
      <c r="J6" s="7">
        <v>2</v>
      </c>
      <c r="K6" s="7">
        <v>1</v>
      </c>
      <c r="L6" s="7">
        <v>1</v>
      </c>
      <c r="M6" s="7">
        <v>2</v>
      </c>
      <c r="N6" s="1">
        <f t="shared" si="0"/>
        <v>1</v>
      </c>
      <c r="O6" s="1" t="str">
        <f t="shared" si="1"/>
        <v>Below Expectations</v>
      </c>
    </row>
    <row r="7" spans="1:15" x14ac:dyDescent="0.55000000000000004">
      <c r="A7" s="3">
        <v>1238911006</v>
      </c>
      <c r="B7" s="1" t="s">
        <v>14</v>
      </c>
      <c r="C7" s="6">
        <v>34706</v>
      </c>
      <c r="D7" s="6">
        <v>45441</v>
      </c>
      <c r="E7" s="6"/>
      <c r="F7" s="15" t="str">
        <f ca="1">IF(E7="",DATEDIF(D7,TODAY(),"y")&amp; "Years" &amp;DATEDIF(D7,TODAY(),"ym")&amp; "Months"&amp;DATEDIF(D7,TODAY(),"md") &amp;"Days",DATEDIF(D7,E7,"y")&amp; "Years" &amp;DATEDIF(D7,E7,"ym")&amp; "Months"&amp;DATEDIF(D7,E7,"md") &amp;"Days")</f>
        <v>1Years11Months14Days</v>
      </c>
      <c r="G7" s="1" t="s">
        <v>17</v>
      </c>
      <c r="H7" s="2">
        <v>46280</v>
      </c>
      <c r="I7" s="7">
        <v>3</v>
      </c>
      <c r="J7" s="7">
        <v>2</v>
      </c>
      <c r="K7" s="7">
        <v>3</v>
      </c>
      <c r="L7" s="7">
        <v>1</v>
      </c>
      <c r="M7" s="7">
        <v>1</v>
      </c>
      <c r="N7" s="1">
        <f>ROUND(AVERAGE(I7:M7),0)</f>
        <v>2</v>
      </c>
      <c r="O7" s="1" t="str">
        <f t="shared" si="1"/>
        <v>Meets Expectations</v>
      </c>
    </row>
    <row r="8" spans="1:15" x14ac:dyDescent="0.55000000000000004">
      <c r="A8" s="3">
        <v>1238911007</v>
      </c>
      <c r="B8" s="1" t="s">
        <v>12</v>
      </c>
      <c r="C8" s="6">
        <v>21223</v>
      </c>
      <c r="D8" s="6">
        <v>37919</v>
      </c>
      <c r="E8" s="6">
        <v>45735</v>
      </c>
      <c r="F8" s="6"/>
      <c r="G8" s="1" t="s">
        <v>18</v>
      </c>
      <c r="H8" s="2">
        <v>27586</v>
      </c>
      <c r="I8" s="7">
        <v>3</v>
      </c>
      <c r="J8" s="7">
        <v>3</v>
      </c>
      <c r="K8" s="7">
        <v>1</v>
      </c>
      <c r="L8" s="7">
        <v>1</v>
      </c>
      <c r="M8" s="7">
        <v>3</v>
      </c>
      <c r="N8" s="1">
        <f t="shared" ref="N8:N71" si="2">ROUND(AVERAGE(I8:M8),0)</f>
        <v>2</v>
      </c>
      <c r="O8" s="1" t="str">
        <f t="shared" si="1"/>
        <v>Meets Expectations</v>
      </c>
    </row>
    <row r="9" spans="1:15" x14ac:dyDescent="0.55000000000000004">
      <c r="A9" s="3">
        <v>1238911008</v>
      </c>
      <c r="B9" s="1" t="s">
        <v>12</v>
      </c>
      <c r="C9" s="6">
        <v>21236</v>
      </c>
      <c r="D9" s="6">
        <v>39081</v>
      </c>
      <c r="E9" s="6"/>
      <c r="F9" s="6"/>
      <c r="G9" s="1" t="s">
        <v>19</v>
      </c>
      <c r="H9" s="2">
        <v>67933.774999999994</v>
      </c>
      <c r="I9" s="7">
        <v>3</v>
      </c>
      <c r="J9" s="7">
        <v>1</v>
      </c>
      <c r="K9" s="7">
        <v>2</v>
      </c>
      <c r="L9" s="7">
        <v>1</v>
      </c>
      <c r="M9" s="7">
        <v>3</v>
      </c>
      <c r="N9" s="1">
        <f t="shared" si="2"/>
        <v>2</v>
      </c>
      <c r="O9" s="1" t="str">
        <f t="shared" si="1"/>
        <v>Meets Expectations</v>
      </c>
    </row>
    <row r="10" spans="1:15" x14ac:dyDescent="0.55000000000000004">
      <c r="A10" s="3">
        <v>1238911009</v>
      </c>
      <c r="B10" s="1" t="s">
        <v>14</v>
      </c>
      <c r="C10" s="6">
        <v>21283</v>
      </c>
      <c r="D10" s="6">
        <v>39668</v>
      </c>
      <c r="E10" s="6"/>
      <c r="F10" s="6"/>
      <c r="G10" s="1" t="s">
        <v>20</v>
      </c>
      <c r="H10" s="2">
        <v>67860</v>
      </c>
      <c r="I10" s="7">
        <v>3</v>
      </c>
      <c r="J10" s="7">
        <v>1</v>
      </c>
      <c r="K10" s="7">
        <v>1</v>
      </c>
      <c r="L10" s="7">
        <v>3</v>
      </c>
      <c r="M10" s="7">
        <v>3</v>
      </c>
      <c r="N10" s="1">
        <f t="shared" si="2"/>
        <v>2</v>
      </c>
      <c r="O10" s="1" t="str">
        <f t="shared" si="1"/>
        <v>Meets Expectations</v>
      </c>
    </row>
    <row r="11" spans="1:15" x14ac:dyDescent="0.55000000000000004">
      <c r="A11" s="3">
        <v>1238911010</v>
      </c>
      <c r="B11" s="1" t="s">
        <v>12</v>
      </c>
      <c r="C11" s="6">
        <v>34729</v>
      </c>
      <c r="D11" s="6">
        <v>42711</v>
      </c>
      <c r="E11" s="6"/>
      <c r="F11" s="6"/>
      <c r="G11" s="1" t="s">
        <v>20</v>
      </c>
      <c r="H11" s="2">
        <v>67860</v>
      </c>
      <c r="I11" s="7">
        <v>3</v>
      </c>
      <c r="J11" s="7">
        <v>2</v>
      </c>
      <c r="K11" s="7">
        <v>3</v>
      </c>
      <c r="L11" s="7">
        <v>2</v>
      </c>
      <c r="M11" s="7">
        <v>2</v>
      </c>
      <c r="N11" s="1">
        <f t="shared" si="2"/>
        <v>2</v>
      </c>
      <c r="O11" s="1" t="str">
        <f t="shared" si="1"/>
        <v>Meets Expectations</v>
      </c>
    </row>
    <row r="12" spans="1:15" x14ac:dyDescent="0.55000000000000004">
      <c r="A12" s="3">
        <v>1238911011</v>
      </c>
      <c r="B12" s="1" t="s">
        <v>12</v>
      </c>
      <c r="C12" s="6">
        <v>34051</v>
      </c>
      <c r="D12" s="6">
        <v>42958</v>
      </c>
      <c r="E12" s="6">
        <v>45662</v>
      </c>
      <c r="F12" s="6"/>
      <c r="G12" s="1" t="s">
        <v>15</v>
      </c>
      <c r="H12" s="2">
        <v>30030</v>
      </c>
      <c r="I12" s="7">
        <v>1</v>
      </c>
      <c r="J12" s="7">
        <v>1</v>
      </c>
      <c r="K12" s="7">
        <v>1</v>
      </c>
      <c r="L12" s="7">
        <v>2</v>
      </c>
      <c r="M12" s="7">
        <v>3</v>
      </c>
      <c r="N12" s="1">
        <f t="shared" si="2"/>
        <v>2</v>
      </c>
      <c r="O12" s="1" t="str">
        <f t="shared" si="1"/>
        <v>Meets Expectations</v>
      </c>
    </row>
    <row r="13" spans="1:15" x14ac:dyDescent="0.55000000000000004">
      <c r="A13" s="3">
        <v>1238911012</v>
      </c>
      <c r="B13" s="1" t="s">
        <v>12</v>
      </c>
      <c r="C13" s="6">
        <v>21673</v>
      </c>
      <c r="D13" s="6">
        <v>38324</v>
      </c>
      <c r="E13" s="6">
        <v>44487</v>
      </c>
      <c r="F13" s="6"/>
      <c r="G13" s="1" t="s">
        <v>13</v>
      </c>
      <c r="H13" s="2">
        <v>27456</v>
      </c>
      <c r="I13" s="7">
        <v>2</v>
      </c>
      <c r="J13" s="7">
        <v>3</v>
      </c>
      <c r="K13" s="7">
        <v>3</v>
      </c>
      <c r="L13" s="7">
        <v>2</v>
      </c>
      <c r="M13" s="7">
        <v>2</v>
      </c>
      <c r="N13" s="1">
        <f t="shared" si="2"/>
        <v>2</v>
      </c>
      <c r="O13" s="1" t="str">
        <f t="shared" si="1"/>
        <v>Meets Expectations</v>
      </c>
    </row>
    <row r="14" spans="1:15" x14ac:dyDescent="0.55000000000000004">
      <c r="A14" s="3">
        <v>1238911013</v>
      </c>
      <c r="B14" s="1" t="s">
        <v>12</v>
      </c>
      <c r="C14" s="6">
        <v>35055</v>
      </c>
      <c r="D14" s="6">
        <v>44296</v>
      </c>
      <c r="E14" s="6"/>
      <c r="F14" s="6"/>
      <c r="G14" s="1" t="s">
        <v>13</v>
      </c>
      <c r="H14" s="2">
        <v>32864</v>
      </c>
      <c r="I14" s="7">
        <v>3</v>
      </c>
      <c r="J14" s="7">
        <v>2</v>
      </c>
      <c r="K14" s="7">
        <v>3</v>
      </c>
      <c r="L14" s="7">
        <v>3</v>
      </c>
      <c r="M14" s="7">
        <v>1</v>
      </c>
      <c r="N14" s="1">
        <f t="shared" si="2"/>
        <v>2</v>
      </c>
      <c r="O14" s="1" t="str">
        <f t="shared" si="1"/>
        <v>Meets Expectations</v>
      </c>
    </row>
    <row r="15" spans="1:15" x14ac:dyDescent="0.55000000000000004">
      <c r="A15" s="3">
        <v>1238911014</v>
      </c>
      <c r="B15" s="1" t="s">
        <v>12</v>
      </c>
      <c r="C15" s="6">
        <v>21784</v>
      </c>
      <c r="D15" s="6">
        <v>36400</v>
      </c>
      <c r="E15" s="6"/>
      <c r="F15" s="6"/>
      <c r="G15" s="1" t="s">
        <v>13</v>
      </c>
      <c r="H15" s="2">
        <v>32864</v>
      </c>
      <c r="I15" s="7">
        <v>3</v>
      </c>
      <c r="J15" s="7">
        <v>2</v>
      </c>
      <c r="K15" s="7">
        <v>3</v>
      </c>
      <c r="L15" s="7">
        <v>3</v>
      </c>
      <c r="M15" s="7">
        <v>3</v>
      </c>
      <c r="N15" s="1">
        <f t="shared" si="2"/>
        <v>3</v>
      </c>
      <c r="O15" s="1" t="str">
        <f t="shared" si="1"/>
        <v>Exceeds Expectations</v>
      </c>
    </row>
    <row r="16" spans="1:15" x14ac:dyDescent="0.55000000000000004">
      <c r="A16" s="3">
        <v>1238911015</v>
      </c>
      <c r="B16" s="1" t="s">
        <v>14</v>
      </c>
      <c r="C16" s="6">
        <v>21798</v>
      </c>
      <c r="D16" s="6">
        <v>38976</v>
      </c>
      <c r="E16" s="6">
        <v>41564</v>
      </c>
      <c r="F16" s="15" t="str">
        <f ca="1">IF(E16="",DATEDIF(D16,TODAY(),"y")&amp; "Years" &amp;DATEDIF(D16,TODAY(),"ym")&amp; "Months"&amp;DATEDIF(D16,TODAY(),"md") &amp;"Days",DATEDIF(D16,E16,"y")&amp; "Years" &amp;DATEDIF(D16,E16,"ym")&amp; "Months"&amp;DATEDIF(D16,E16,"md") &amp;"Days")</f>
        <v>7Years1Months1Days</v>
      </c>
      <c r="G16" s="1" t="s">
        <v>21</v>
      </c>
      <c r="H16" s="2">
        <v>43914</v>
      </c>
      <c r="I16" s="7">
        <v>3</v>
      </c>
      <c r="J16" s="7">
        <v>2</v>
      </c>
      <c r="K16" s="7">
        <v>2</v>
      </c>
      <c r="L16" s="7">
        <v>2</v>
      </c>
      <c r="M16" s="7">
        <v>2</v>
      </c>
      <c r="N16" s="1">
        <f t="shared" si="2"/>
        <v>2</v>
      </c>
      <c r="O16" s="1" t="str">
        <f t="shared" si="1"/>
        <v>Meets Expectations</v>
      </c>
    </row>
    <row r="17" spans="1:15" x14ac:dyDescent="0.55000000000000004">
      <c r="A17" s="3">
        <v>1238911016</v>
      </c>
      <c r="B17" s="1" t="s">
        <v>14</v>
      </c>
      <c r="C17" s="6">
        <v>31090</v>
      </c>
      <c r="D17" s="6">
        <v>41215</v>
      </c>
      <c r="E17" s="6">
        <v>43065</v>
      </c>
      <c r="F17" s="15" t="str">
        <f ca="1">IF(E17="",DATEDIF(D17,TODAY(),"y")&amp; "Years" &amp;DATEDIF(D17,TODAY(),"ym")&amp; "Months"&amp;DATEDIF(D17,TODAY(),"md") &amp;"Days",DATEDIF(D17,E17,"y")&amp; "Years" &amp;DATEDIF(D17,E17,"ym")&amp; "Months"&amp;DATEDIF(D17,E17,"md") &amp;"Days")</f>
        <v>5Years0Months24Days</v>
      </c>
      <c r="G17" s="1" t="s">
        <v>22</v>
      </c>
      <c r="H17" s="2">
        <v>43914</v>
      </c>
      <c r="I17" s="7">
        <v>1</v>
      </c>
      <c r="J17" s="7">
        <v>3</v>
      </c>
      <c r="K17" s="7">
        <v>1</v>
      </c>
      <c r="L17" s="7">
        <v>2</v>
      </c>
      <c r="M17" s="7">
        <v>2</v>
      </c>
      <c r="N17" s="1">
        <f t="shared" si="2"/>
        <v>2</v>
      </c>
      <c r="O17" s="1" t="str">
        <f t="shared" si="1"/>
        <v>Meets Expectations</v>
      </c>
    </row>
    <row r="18" spans="1:15" x14ac:dyDescent="0.55000000000000004">
      <c r="A18" s="3">
        <v>1238911017</v>
      </c>
      <c r="B18" s="1" t="s">
        <v>12</v>
      </c>
      <c r="C18" s="6">
        <v>21825</v>
      </c>
      <c r="D18" s="6">
        <v>33014</v>
      </c>
      <c r="E18" s="6">
        <v>45619</v>
      </c>
      <c r="F18" s="6"/>
      <c r="G18" s="1" t="s">
        <v>13</v>
      </c>
      <c r="H18" s="2">
        <v>26520</v>
      </c>
      <c r="I18" s="7">
        <v>2</v>
      </c>
      <c r="J18" s="7">
        <v>1</v>
      </c>
      <c r="K18" s="7">
        <v>3</v>
      </c>
      <c r="L18" s="7">
        <v>3</v>
      </c>
      <c r="M18" s="7">
        <v>1</v>
      </c>
      <c r="N18" s="1">
        <f t="shared" si="2"/>
        <v>2</v>
      </c>
      <c r="O18" s="1" t="str">
        <f t="shared" si="1"/>
        <v>Meets Expectations</v>
      </c>
    </row>
    <row r="19" spans="1:15" x14ac:dyDescent="0.55000000000000004">
      <c r="A19" s="3">
        <v>1238911018</v>
      </c>
      <c r="B19" s="1" t="s">
        <v>14</v>
      </c>
      <c r="C19" s="6">
        <v>21846</v>
      </c>
      <c r="D19" s="6">
        <v>37904</v>
      </c>
      <c r="E19" s="6">
        <v>44297</v>
      </c>
      <c r="F19" s="6"/>
      <c r="G19" s="1" t="s">
        <v>23</v>
      </c>
      <c r="H19" s="2">
        <v>74679.475000000006</v>
      </c>
      <c r="I19" s="7">
        <v>3</v>
      </c>
      <c r="J19" s="7">
        <v>2</v>
      </c>
      <c r="K19" s="7">
        <v>1</v>
      </c>
      <c r="L19" s="7">
        <v>3</v>
      </c>
      <c r="M19" s="7">
        <v>1</v>
      </c>
      <c r="N19" s="1">
        <f t="shared" si="2"/>
        <v>2</v>
      </c>
      <c r="O19" s="1" t="str">
        <f t="shared" si="1"/>
        <v>Meets Expectations</v>
      </c>
    </row>
    <row r="20" spans="1:15" x14ac:dyDescent="0.55000000000000004">
      <c r="A20" s="3">
        <v>1238911019</v>
      </c>
      <c r="B20" s="1" t="s">
        <v>14</v>
      </c>
      <c r="C20" s="6">
        <v>21903</v>
      </c>
      <c r="D20" s="6">
        <v>33014</v>
      </c>
      <c r="E20" s="6"/>
      <c r="F20" s="15" t="str">
        <f ca="1">IF(E20="",DATEDIF(D20,TODAY(),"y")&amp; "Years" &amp;DATEDIF(D20,TODAY(),"ym")&amp; "Months"&amp;DATEDIF(D20,TODAY(),"md") &amp;"Days",DATEDIF(D20,E20,"y")&amp; "Years" &amp;DATEDIF(D20,E20,"ym")&amp; "Months"&amp;DATEDIF(D20,E20,"md") &amp;"Days")</f>
        <v>35Years11Months22Days</v>
      </c>
      <c r="G20" s="1" t="s">
        <v>13</v>
      </c>
      <c r="H20" s="2">
        <v>27300</v>
      </c>
      <c r="I20" s="7">
        <v>2</v>
      </c>
      <c r="J20" s="7">
        <v>3</v>
      </c>
      <c r="K20" s="7">
        <v>2</v>
      </c>
      <c r="L20" s="7">
        <v>2</v>
      </c>
      <c r="M20" s="7">
        <v>1</v>
      </c>
      <c r="N20" s="1">
        <f t="shared" si="2"/>
        <v>2</v>
      </c>
      <c r="O20" s="1" t="str">
        <f t="shared" si="1"/>
        <v>Meets Expectations</v>
      </c>
    </row>
    <row r="21" spans="1:15" x14ac:dyDescent="0.55000000000000004">
      <c r="A21" s="3">
        <v>1238911020</v>
      </c>
      <c r="B21" s="1" t="s">
        <v>12</v>
      </c>
      <c r="C21" s="6">
        <v>21948</v>
      </c>
      <c r="D21" s="6">
        <v>38721</v>
      </c>
      <c r="E21" s="6"/>
      <c r="F21" s="6"/>
      <c r="G21" s="1" t="s">
        <v>24</v>
      </c>
      <c r="H21" s="2">
        <v>107723.2</v>
      </c>
      <c r="I21" s="7">
        <v>2</v>
      </c>
      <c r="J21" s="7">
        <v>3</v>
      </c>
      <c r="K21" s="7">
        <v>3</v>
      </c>
      <c r="L21" s="7">
        <v>2</v>
      </c>
      <c r="M21" s="7">
        <v>3</v>
      </c>
      <c r="N21" s="1">
        <f t="shared" si="2"/>
        <v>3</v>
      </c>
      <c r="O21" s="1" t="str">
        <f t="shared" si="1"/>
        <v>Exceeds Expectations</v>
      </c>
    </row>
    <row r="22" spans="1:15" x14ac:dyDescent="0.55000000000000004">
      <c r="A22" s="3">
        <v>1238911021</v>
      </c>
      <c r="B22" s="1" t="s">
        <v>12</v>
      </c>
      <c r="C22" s="6">
        <v>21958</v>
      </c>
      <c r="D22" s="6">
        <v>36183</v>
      </c>
      <c r="E22" s="6">
        <v>43695</v>
      </c>
      <c r="F22" s="6"/>
      <c r="G22" s="1" t="s">
        <v>13</v>
      </c>
      <c r="H22" s="2">
        <v>27571.25</v>
      </c>
      <c r="I22" s="7">
        <v>2</v>
      </c>
      <c r="J22" s="7">
        <v>2</v>
      </c>
      <c r="K22" s="7">
        <v>1</v>
      </c>
      <c r="L22" s="7">
        <v>1</v>
      </c>
      <c r="M22" s="7">
        <v>3</v>
      </c>
      <c r="N22" s="1">
        <f t="shared" si="2"/>
        <v>2</v>
      </c>
      <c r="O22" s="1" t="str">
        <f t="shared" si="1"/>
        <v>Meets Expectations</v>
      </c>
    </row>
    <row r="23" spans="1:15" x14ac:dyDescent="0.55000000000000004">
      <c r="A23" s="3">
        <v>1238911022</v>
      </c>
      <c r="B23" s="1" t="s">
        <v>12</v>
      </c>
      <c r="C23" s="6">
        <v>28244</v>
      </c>
      <c r="D23" s="6">
        <v>39815</v>
      </c>
      <c r="E23" s="6"/>
      <c r="F23" s="6"/>
      <c r="G23" s="1" t="s">
        <v>13</v>
      </c>
      <c r="H23" s="2">
        <v>27571.25</v>
      </c>
      <c r="I23" s="7">
        <v>1</v>
      </c>
      <c r="J23" s="7">
        <v>2</v>
      </c>
      <c r="K23" s="7">
        <v>1</v>
      </c>
      <c r="L23" s="7">
        <v>1</v>
      </c>
      <c r="M23" s="7">
        <v>3</v>
      </c>
      <c r="N23" s="1">
        <f t="shared" si="2"/>
        <v>2</v>
      </c>
      <c r="O23" s="1" t="str">
        <f t="shared" si="1"/>
        <v>Meets Expectations</v>
      </c>
    </row>
    <row r="24" spans="1:15" x14ac:dyDescent="0.55000000000000004">
      <c r="A24" s="3">
        <v>1238911023</v>
      </c>
      <c r="B24" s="1" t="s">
        <v>12</v>
      </c>
      <c r="C24" s="6">
        <v>32709</v>
      </c>
      <c r="D24" s="6">
        <v>44571</v>
      </c>
      <c r="E24" s="6"/>
      <c r="F24" s="6"/>
      <c r="G24" s="1" t="s">
        <v>13</v>
      </c>
      <c r="H24" s="2">
        <v>30784</v>
      </c>
      <c r="I24" s="7">
        <v>3</v>
      </c>
      <c r="J24" s="7">
        <v>3</v>
      </c>
      <c r="K24" s="7">
        <v>3</v>
      </c>
      <c r="L24" s="7">
        <v>2</v>
      </c>
      <c r="M24" s="7">
        <v>3</v>
      </c>
      <c r="N24" s="1">
        <f t="shared" si="2"/>
        <v>3</v>
      </c>
      <c r="O24" s="1" t="str">
        <f t="shared" si="1"/>
        <v>Exceeds Expectations</v>
      </c>
    </row>
    <row r="25" spans="1:15" x14ac:dyDescent="0.55000000000000004">
      <c r="A25" s="3">
        <v>1238911024</v>
      </c>
      <c r="B25" s="1" t="s">
        <v>12</v>
      </c>
      <c r="C25" s="6">
        <v>22118</v>
      </c>
      <c r="D25" s="6">
        <v>37105</v>
      </c>
      <c r="E25" s="6"/>
      <c r="F25" s="6"/>
      <c r="G25" s="1" t="s">
        <v>13</v>
      </c>
      <c r="H25" s="2">
        <v>27300</v>
      </c>
      <c r="I25" s="7">
        <v>3</v>
      </c>
      <c r="J25" s="7">
        <v>2</v>
      </c>
      <c r="K25" s="7">
        <v>2</v>
      </c>
      <c r="L25" s="7">
        <v>2</v>
      </c>
      <c r="M25" s="7">
        <v>2</v>
      </c>
      <c r="N25" s="1">
        <f t="shared" si="2"/>
        <v>2</v>
      </c>
      <c r="O25" s="1" t="str">
        <f t="shared" si="1"/>
        <v>Meets Expectations</v>
      </c>
    </row>
    <row r="26" spans="1:15" x14ac:dyDescent="0.55000000000000004">
      <c r="A26" s="3">
        <v>1238911025</v>
      </c>
      <c r="B26" s="1" t="s">
        <v>12</v>
      </c>
      <c r="C26" s="6">
        <v>22138</v>
      </c>
      <c r="D26" s="6">
        <v>36423</v>
      </c>
      <c r="E26" s="6"/>
      <c r="F26" s="6"/>
      <c r="G26" s="1" t="s">
        <v>19</v>
      </c>
      <c r="H26" s="2">
        <v>65000</v>
      </c>
      <c r="I26" s="7">
        <v>2</v>
      </c>
      <c r="J26" s="7">
        <v>1</v>
      </c>
      <c r="K26" s="7">
        <v>2</v>
      </c>
      <c r="L26" s="7">
        <v>3</v>
      </c>
      <c r="M26" s="7">
        <v>3</v>
      </c>
      <c r="N26" s="1">
        <f t="shared" si="2"/>
        <v>2</v>
      </c>
      <c r="O26" s="1" t="str">
        <f t="shared" si="1"/>
        <v>Meets Expectations</v>
      </c>
    </row>
    <row r="27" spans="1:15" x14ac:dyDescent="0.55000000000000004">
      <c r="A27" s="3">
        <v>1238911026</v>
      </c>
      <c r="B27" s="1" t="s">
        <v>12</v>
      </c>
      <c r="C27" s="6">
        <v>22180</v>
      </c>
      <c r="D27" s="6">
        <v>37729</v>
      </c>
      <c r="E27" s="6"/>
      <c r="F27" s="6"/>
      <c r="G27" s="1" t="s">
        <v>25</v>
      </c>
      <c r="H27" s="2">
        <v>28596.975000000002</v>
      </c>
      <c r="I27" s="7">
        <v>1</v>
      </c>
      <c r="J27" s="7">
        <v>1</v>
      </c>
      <c r="K27" s="7">
        <v>3</v>
      </c>
      <c r="L27" s="7">
        <v>1</v>
      </c>
      <c r="M27" s="7">
        <v>1</v>
      </c>
      <c r="N27" s="1">
        <f t="shared" si="2"/>
        <v>1</v>
      </c>
      <c r="O27" s="1" t="str">
        <f t="shared" si="1"/>
        <v>Below Expectations</v>
      </c>
    </row>
    <row r="28" spans="1:15" x14ac:dyDescent="0.55000000000000004">
      <c r="A28" s="3">
        <v>1238911027</v>
      </c>
      <c r="B28" s="1" t="s">
        <v>12</v>
      </c>
      <c r="C28" s="6">
        <v>22190</v>
      </c>
      <c r="D28" s="6">
        <v>40172</v>
      </c>
      <c r="E28" s="6"/>
      <c r="F28" s="6"/>
      <c r="G28" s="1" t="s">
        <v>26</v>
      </c>
      <c r="H28" s="2">
        <v>101936.25</v>
      </c>
      <c r="I28" s="7">
        <v>2</v>
      </c>
      <c r="J28" s="7">
        <v>2</v>
      </c>
      <c r="K28" s="7">
        <v>2</v>
      </c>
      <c r="L28" s="7">
        <v>2</v>
      </c>
      <c r="M28" s="7">
        <v>2</v>
      </c>
      <c r="N28" s="1">
        <f t="shared" si="2"/>
        <v>2</v>
      </c>
      <c r="O28" s="1" t="str">
        <f t="shared" si="1"/>
        <v>Meets Expectations</v>
      </c>
    </row>
    <row r="29" spans="1:15" x14ac:dyDescent="0.55000000000000004">
      <c r="A29" s="3">
        <v>1238911028</v>
      </c>
      <c r="B29" s="1" t="s">
        <v>12</v>
      </c>
      <c r="C29" s="6">
        <v>22293</v>
      </c>
      <c r="D29" s="6">
        <v>36294</v>
      </c>
      <c r="E29" s="6"/>
      <c r="F29" s="6"/>
      <c r="G29" s="1" t="s">
        <v>27</v>
      </c>
      <c r="H29" s="2">
        <v>93062.5</v>
      </c>
      <c r="I29" s="7">
        <v>1</v>
      </c>
      <c r="J29" s="7">
        <v>3</v>
      </c>
      <c r="K29" s="7">
        <v>3</v>
      </c>
      <c r="L29" s="7">
        <v>1</v>
      </c>
      <c r="M29" s="7">
        <v>1</v>
      </c>
      <c r="N29" s="1">
        <f t="shared" si="2"/>
        <v>2</v>
      </c>
      <c r="O29" s="1" t="str">
        <f t="shared" si="1"/>
        <v>Meets Expectations</v>
      </c>
    </row>
    <row r="30" spans="1:15" x14ac:dyDescent="0.55000000000000004">
      <c r="A30" s="3">
        <v>1238911029</v>
      </c>
      <c r="B30" s="1" t="s">
        <v>14</v>
      </c>
      <c r="C30" s="6">
        <v>22295</v>
      </c>
      <c r="D30" s="6">
        <v>35783</v>
      </c>
      <c r="E30" s="6"/>
      <c r="F30" s="15" t="str">
        <f t="shared" ref="F30:F31" ca="1" si="3">IF(E30="",DATEDIF(D30,TODAY(),"y")&amp; "Years" &amp;DATEDIF(D30,TODAY(),"ym")&amp; "Months"&amp;DATEDIF(D30,TODAY(),"md") &amp;"Days",DATEDIF(D30,E30,"y")&amp; "Years" &amp;DATEDIF(D30,E30,"ym")&amp; "Months"&amp;DATEDIF(D30,E30,"md") &amp;"Days")</f>
        <v>28Years4Months24Days</v>
      </c>
      <c r="G30" s="1" t="s">
        <v>13</v>
      </c>
      <c r="H30" s="2">
        <v>27404</v>
      </c>
      <c r="I30" s="7">
        <v>3</v>
      </c>
      <c r="J30" s="7">
        <v>1</v>
      </c>
      <c r="K30" s="7">
        <v>3</v>
      </c>
      <c r="L30" s="7">
        <v>3</v>
      </c>
      <c r="M30" s="7">
        <v>1</v>
      </c>
      <c r="N30" s="1">
        <f t="shared" si="2"/>
        <v>2</v>
      </c>
      <c r="O30" s="1" t="str">
        <f t="shared" si="1"/>
        <v>Meets Expectations</v>
      </c>
    </row>
    <row r="31" spans="1:15" x14ac:dyDescent="0.55000000000000004">
      <c r="A31" s="3">
        <v>1238911030</v>
      </c>
      <c r="B31" s="1" t="s">
        <v>14</v>
      </c>
      <c r="C31" s="6">
        <v>36769</v>
      </c>
      <c r="D31" s="6">
        <v>45631</v>
      </c>
      <c r="E31" s="6"/>
      <c r="F31" s="15" t="str">
        <f t="shared" ca="1" si="3"/>
        <v>1Years5Months8Days</v>
      </c>
      <c r="G31" s="1" t="s">
        <v>13</v>
      </c>
      <c r="H31" s="2">
        <v>27404</v>
      </c>
      <c r="I31" s="7">
        <v>2</v>
      </c>
      <c r="J31" s="7">
        <v>3</v>
      </c>
      <c r="K31" s="7">
        <v>2</v>
      </c>
      <c r="L31" s="7">
        <v>2</v>
      </c>
      <c r="M31" s="7">
        <v>1</v>
      </c>
      <c r="N31" s="1">
        <f t="shared" si="2"/>
        <v>2</v>
      </c>
      <c r="O31" s="1" t="str">
        <f t="shared" si="1"/>
        <v>Meets Expectations</v>
      </c>
    </row>
    <row r="32" spans="1:15" x14ac:dyDescent="0.55000000000000004">
      <c r="A32" s="3">
        <v>1238911031</v>
      </c>
      <c r="B32" s="1" t="s">
        <v>12</v>
      </c>
      <c r="C32" s="6">
        <v>22323</v>
      </c>
      <c r="D32" s="6">
        <v>36353</v>
      </c>
      <c r="E32" s="6"/>
      <c r="F32" s="6"/>
      <c r="G32" s="1" t="s">
        <v>28</v>
      </c>
      <c r="H32" s="2">
        <v>82875</v>
      </c>
      <c r="I32" s="7">
        <v>1</v>
      </c>
      <c r="J32" s="7">
        <v>1</v>
      </c>
      <c r="K32" s="7">
        <v>2</v>
      </c>
      <c r="L32" s="7">
        <v>3</v>
      </c>
      <c r="M32" s="7">
        <v>1</v>
      </c>
      <c r="N32" s="1">
        <f t="shared" si="2"/>
        <v>2</v>
      </c>
      <c r="O32" s="1" t="str">
        <f t="shared" si="1"/>
        <v>Meets Expectations</v>
      </c>
    </row>
    <row r="33" spans="1:15" x14ac:dyDescent="0.55000000000000004">
      <c r="A33" s="3">
        <v>1238911032</v>
      </c>
      <c r="B33" s="1" t="s">
        <v>14</v>
      </c>
      <c r="C33" s="6">
        <v>36193</v>
      </c>
      <c r="D33" s="6">
        <v>45285</v>
      </c>
      <c r="E33" s="6"/>
      <c r="F33" s="15" t="str">
        <f t="shared" ref="F33:F34" ca="1" si="4">IF(E33="",DATEDIF(D33,TODAY(),"y")&amp; "Years" &amp;DATEDIF(D33,TODAY(),"ym")&amp; "Months"&amp;DATEDIF(D33,TODAY(),"md") &amp;"Days",DATEDIF(D33,E33,"y")&amp; "Years" &amp;DATEDIF(D33,E33,"ym")&amp; "Months"&amp;DATEDIF(D33,E33,"md") &amp;"Days")</f>
        <v>2Years4Months18Days</v>
      </c>
      <c r="G33" s="1" t="s">
        <v>13</v>
      </c>
      <c r="H33" s="2">
        <v>27300</v>
      </c>
      <c r="I33" s="7">
        <v>1</v>
      </c>
      <c r="J33" s="7">
        <v>3</v>
      </c>
      <c r="K33" s="7">
        <v>1</v>
      </c>
      <c r="L33" s="7">
        <v>3</v>
      </c>
      <c r="M33" s="7">
        <v>3</v>
      </c>
      <c r="N33" s="1">
        <f t="shared" si="2"/>
        <v>2</v>
      </c>
      <c r="O33" s="1" t="str">
        <f t="shared" si="1"/>
        <v>Meets Expectations</v>
      </c>
    </row>
    <row r="34" spans="1:15" x14ac:dyDescent="0.55000000000000004">
      <c r="A34" s="3">
        <v>1238911033</v>
      </c>
      <c r="B34" s="1" t="s">
        <v>14</v>
      </c>
      <c r="C34" s="6">
        <v>22413</v>
      </c>
      <c r="D34" s="6">
        <v>33014</v>
      </c>
      <c r="E34" s="6">
        <v>42730</v>
      </c>
      <c r="F34" s="15" t="str">
        <f t="shared" ca="1" si="4"/>
        <v>26Years7Months5Days</v>
      </c>
      <c r="G34" s="1" t="s">
        <v>13</v>
      </c>
      <c r="H34" s="2">
        <v>27300</v>
      </c>
      <c r="I34" s="7">
        <v>2</v>
      </c>
      <c r="J34" s="7">
        <v>2</v>
      </c>
      <c r="K34" s="7">
        <v>3</v>
      </c>
      <c r="L34" s="7">
        <v>2</v>
      </c>
      <c r="M34" s="7">
        <v>1</v>
      </c>
      <c r="N34" s="1">
        <f t="shared" si="2"/>
        <v>2</v>
      </c>
      <c r="O34" s="1" t="str">
        <f t="shared" si="1"/>
        <v>Meets Expectations</v>
      </c>
    </row>
    <row r="35" spans="1:15" x14ac:dyDescent="0.55000000000000004">
      <c r="A35" s="3">
        <v>1238911034</v>
      </c>
      <c r="B35" s="1" t="s">
        <v>12</v>
      </c>
      <c r="C35" s="6">
        <v>22414</v>
      </c>
      <c r="D35" s="6">
        <v>37476</v>
      </c>
      <c r="E35" s="6"/>
      <c r="F35" s="6"/>
      <c r="G35" s="1" t="s">
        <v>25</v>
      </c>
      <c r="H35" s="2">
        <v>28808</v>
      </c>
      <c r="I35" s="7">
        <v>2</v>
      </c>
      <c r="J35" s="7">
        <v>1</v>
      </c>
      <c r="K35" s="7">
        <v>2</v>
      </c>
      <c r="L35" s="7">
        <v>1</v>
      </c>
      <c r="M35" s="7">
        <v>2</v>
      </c>
      <c r="N35" s="1">
        <f t="shared" si="2"/>
        <v>2</v>
      </c>
      <c r="O35" s="1" t="str">
        <f t="shared" si="1"/>
        <v>Meets Expectations</v>
      </c>
    </row>
    <row r="36" spans="1:15" x14ac:dyDescent="0.55000000000000004">
      <c r="A36" s="3">
        <v>1238911035</v>
      </c>
      <c r="B36" s="1" t="s">
        <v>12</v>
      </c>
      <c r="C36" s="6">
        <v>22454</v>
      </c>
      <c r="D36" s="6">
        <v>39338</v>
      </c>
      <c r="E36" s="6"/>
      <c r="F36" s="6"/>
      <c r="G36" s="1" t="s">
        <v>19</v>
      </c>
      <c r="H36" s="2">
        <v>60797.1</v>
      </c>
      <c r="I36" s="7">
        <v>2</v>
      </c>
      <c r="J36" s="7">
        <v>3</v>
      </c>
      <c r="K36" s="7">
        <v>3</v>
      </c>
      <c r="L36" s="7">
        <v>2</v>
      </c>
      <c r="M36" s="7">
        <v>3</v>
      </c>
      <c r="N36" s="1">
        <f t="shared" si="2"/>
        <v>3</v>
      </c>
      <c r="O36" s="1" t="str">
        <f t="shared" si="1"/>
        <v>Exceeds Expectations</v>
      </c>
    </row>
    <row r="37" spans="1:15" x14ac:dyDescent="0.55000000000000004">
      <c r="A37" s="3">
        <v>1238911036</v>
      </c>
      <c r="B37" s="1" t="s">
        <v>14</v>
      </c>
      <c r="C37" s="6">
        <v>22482</v>
      </c>
      <c r="D37" s="6">
        <v>39788</v>
      </c>
      <c r="E37" s="6"/>
      <c r="F37" s="15" t="str">
        <f t="shared" ref="F37:F38" ca="1" si="5">IF(E37="",DATEDIF(D37,TODAY(),"y")&amp; "Years" &amp;DATEDIF(D37,TODAY(),"ym")&amp; "Months"&amp;DATEDIF(D37,TODAY(),"md") &amp;"Days",DATEDIF(D37,E37,"y")&amp; "Years" &amp;DATEDIF(D37,E37,"ym")&amp; "Months"&amp;DATEDIF(D37,E37,"md") &amp;"Days")</f>
        <v>17Years5Months7Days</v>
      </c>
      <c r="G37" s="1" t="s">
        <v>29</v>
      </c>
      <c r="H37" s="2">
        <v>48490</v>
      </c>
      <c r="I37" s="7">
        <v>2</v>
      </c>
      <c r="J37" s="7">
        <v>3</v>
      </c>
      <c r="K37" s="7">
        <v>3</v>
      </c>
      <c r="L37" s="7">
        <v>2</v>
      </c>
      <c r="M37" s="7">
        <v>3</v>
      </c>
      <c r="N37" s="1">
        <f t="shared" si="2"/>
        <v>3</v>
      </c>
      <c r="O37" s="1" t="str">
        <f t="shared" si="1"/>
        <v>Exceeds Expectations</v>
      </c>
    </row>
    <row r="38" spans="1:15" x14ac:dyDescent="0.55000000000000004">
      <c r="A38" s="3">
        <v>1238911037</v>
      </c>
      <c r="B38" s="1" t="s">
        <v>14</v>
      </c>
      <c r="C38" s="6">
        <v>22501</v>
      </c>
      <c r="D38" s="6">
        <v>39906</v>
      </c>
      <c r="E38" s="6"/>
      <c r="F38" s="15" t="str">
        <f t="shared" ca="1" si="5"/>
        <v>17Years1Months10Days</v>
      </c>
      <c r="G38" s="1" t="s">
        <v>13</v>
      </c>
      <c r="H38" s="2">
        <v>28782</v>
      </c>
      <c r="I38" s="7">
        <v>2</v>
      </c>
      <c r="J38" s="7">
        <v>2</v>
      </c>
      <c r="K38" s="7">
        <v>1</v>
      </c>
      <c r="L38" s="7">
        <v>3</v>
      </c>
      <c r="M38" s="7">
        <v>1</v>
      </c>
      <c r="N38" s="1">
        <f t="shared" si="2"/>
        <v>2</v>
      </c>
      <c r="O38" s="1" t="str">
        <f t="shared" si="1"/>
        <v>Meets Expectations</v>
      </c>
    </row>
    <row r="39" spans="1:15" x14ac:dyDescent="0.55000000000000004">
      <c r="A39" s="3">
        <v>1238911038</v>
      </c>
      <c r="B39" s="1" t="s">
        <v>12</v>
      </c>
      <c r="C39" s="6">
        <v>24539</v>
      </c>
      <c r="D39" s="6">
        <v>36294</v>
      </c>
      <c r="E39" s="6"/>
      <c r="F39" s="6"/>
      <c r="G39" s="1" t="s">
        <v>13</v>
      </c>
      <c r="H39" s="2">
        <v>28782</v>
      </c>
      <c r="I39" s="7">
        <v>2</v>
      </c>
      <c r="J39" s="7">
        <v>3</v>
      </c>
      <c r="K39" s="7">
        <v>3</v>
      </c>
      <c r="L39" s="7">
        <v>2</v>
      </c>
      <c r="M39" s="7">
        <v>2</v>
      </c>
      <c r="N39" s="1">
        <f t="shared" si="2"/>
        <v>2</v>
      </c>
      <c r="O39" s="1" t="str">
        <f t="shared" si="1"/>
        <v>Meets Expectations</v>
      </c>
    </row>
    <row r="40" spans="1:15" x14ac:dyDescent="0.55000000000000004">
      <c r="A40" s="3">
        <v>1238911039</v>
      </c>
      <c r="B40" s="1" t="s">
        <v>12</v>
      </c>
      <c r="C40" s="6">
        <v>22507</v>
      </c>
      <c r="D40" s="6">
        <v>37779</v>
      </c>
      <c r="E40" s="6"/>
      <c r="F40" s="6"/>
      <c r="G40" s="1" t="s">
        <v>25</v>
      </c>
      <c r="H40" s="2">
        <v>30446</v>
      </c>
      <c r="I40" s="7">
        <v>2</v>
      </c>
      <c r="J40" s="7">
        <v>3</v>
      </c>
      <c r="K40" s="7">
        <v>2</v>
      </c>
      <c r="L40" s="7">
        <v>1</v>
      </c>
      <c r="M40" s="7">
        <v>1</v>
      </c>
      <c r="N40" s="1">
        <f t="shared" si="2"/>
        <v>2</v>
      </c>
      <c r="O40" s="1" t="str">
        <f t="shared" si="1"/>
        <v>Meets Expectations</v>
      </c>
    </row>
    <row r="41" spans="1:15" x14ac:dyDescent="0.55000000000000004">
      <c r="A41" s="3">
        <v>1238911040</v>
      </c>
      <c r="B41" s="1" t="s">
        <v>14</v>
      </c>
      <c r="C41" s="6">
        <v>22513</v>
      </c>
      <c r="D41" s="6">
        <v>38284</v>
      </c>
      <c r="E41" s="6">
        <v>45539</v>
      </c>
      <c r="F41" s="15" t="str">
        <f t="shared" ref="F41:F43" ca="1" si="6">IF(E41="",DATEDIF(D41,TODAY(),"y")&amp; "Years" &amp;DATEDIF(D41,TODAY(),"ym")&amp; "Months"&amp;DATEDIF(D41,TODAY(),"md") &amp;"Days",DATEDIF(D41,E41,"y")&amp; "Years" &amp;DATEDIF(D41,E41,"ym")&amp; "Months"&amp;DATEDIF(D41,E41,"md") &amp;"Days")</f>
        <v>19Years10Months11Days</v>
      </c>
      <c r="G41" s="1" t="s">
        <v>30</v>
      </c>
      <c r="H41" s="2">
        <v>48317.5</v>
      </c>
      <c r="I41" s="7">
        <v>1</v>
      </c>
      <c r="J41" s="7">
        <v>1</v>
      </c>
      <c r="K41" s="7">
        <v>2</v>
      </c>
      <c r="L41" s="7">
        <v>2</v>
      </c>
      <c r="M41" s="7">
        <v>2</v>
      </c>
      <c r="N41" s="1">
        <f t="shared" si="2"/>
        <v>2</v>
      </c>
      <c r="O41" s="1" t="str">
        <f t="shared" si="1"/>
        <v>Meets Expectations</v>
      </c>
    </row>
    <row r="42" spans="1:15" x14ac:dyDescent="0.55000000000000004">
      <c r="A42" s="3">
        <v>1238911041</v>
      </c>
      <c r="B42" s="1" t="s">
        <v>14</v>
      </c>
      <c r="C42" s="6">
        <v>22555</v>
      </c>
      <c r="D42" s="6">
        <v>39081</v>
      </c>
      <c r="E42" s="6"/>
      <c r="F42" s="15" t="str">
        <f t="shared" ca="1" si="6"/>
        <v>19Years4Months13Days</v>
      </c>
      <c r="G42" s="1" t="s">
        <v>25</v>
      </c>
      <c r="H42" s="2">
        <v>31044</v>
      </c>
      <c r="I42" s="7">
        <v>3</v>
      </c>
      <c r="J42" s="7">
        <v>3</v>
      </c>
      <c r="K42" s="7">
        <v>1</v>
      </c>
      <c r="L42" s="7">
        <v>1</v>
      </c>
      <c r="M42" s="7">
        <v>1</v>
      </c>
      <c r="N42" s="1">
        <f t="shared" si="2"/>
        <v>2</v>
      </c>
      <c r="O42" s="1" t="str">
        <f t="shared" si="1"/>
        <v>Meets Expectations</v>
      </c>
    </row>
    <row r="43" spans="1:15" x14ac:dyDescent="0.55000000000000004">
      <c r="A43" s="3">
        <v>1238911042</v>
      </c>
      <c r="B43" s="1" t="s">
        <v>14</v>
      </c>
      <c r="C43" s="6">
        <v>22532</v>
      </c>
      <c r="D43" s="6">
        <v>39668</v>
      </c>
      <c r="E43" s="6"/>
      <c r="F43" s="15" t="str">
        <f t="shared" ca="1" si="6"/>
        <v>17Years9Months5Days</v>
      </c>
      <c r="G43" s="1" t="s">
        <v>13</v>
      </c>
      <c r="H43" s="2">
        <v>30732</v>
      </c>
      <c r="I43" s="7">
        <v>3</v>
      </c>
      <c r="J43" s="7">
        <v>2</v>
      </c>
      <c r="K43" s="7">
        <v>3</v>
      </c>
      <c r="L43" s="7">
        <v>2</v>
      </c>
      <c r="M43" s="7">
        <v>2</v>
      </c>
      <c r="N43" s="1">
        <f t="shared" si="2"/>
        <v>2</v>
      </c>
      <c r="O43" s="1" t="str">
        <f t="shared" si="1"/>
        <v>Meets Expectations</v>
      </c>
    </row>
    <row r="44" spans="1:15" x14ac:dyDescent="0.55000000000000004">
      <c r="A44" s="3">
        <v>1238911043</v>
      </c>
      <c r="B44" s="1" t="s">
        <v>12</v>
      </c>
      <c r="C44" s="6">
        <v>22534</v>
      </c>
      <c r="D44" s="6">
        <v>33014</v>
      </c>
      <c r="E44" s="6">
        <v>41666</v>
      </c>
      <c r="F44" s="6"/>
      <c r="G44" s="1" t="s">
        <v>31</v>
      </c>
      <c r="H44" s="2">
        <v>30238</v>
      </c>
      <c r="I44" s="7">
        <v>1</v>
      </c>
      <c r="J44" s="7">
        <v>2</v>
      </c>
      <c r="K44" s="7">
        <v>2</v>
      </c>
      <c r="L44" s="7">
        <v>1</v>
      </c>
      <c r="M44" s="7">
        <v>3</v>
      </c>
      <c r="N44" s="1">
        <f t="shared" si="2"/>
        <v>2</v>
      </c>
      <c r="O44" s="1" t="str">
        <f t="shared" si="1"/>
        <v>Meets Expectations</v>
      </c>
    </row>
    <row r="45" spans="1:15" x14ac:dyDescent="0.55000000000000004">
      <c r="A45" s="3">
        <v>1238911044</v>
      </c>
      <c r="B45" s="1" t="s">
        <v>12</v>
      </c>
      <c r="C45" s="6">
        <v>22709</v>
      </c>
      <c r="D45" s="6">
        <v>36498</v>
      </c>
      <c r="E45" s="6"/>
      <c r="F45" s="6"/>
      <c r="G45" s="1" t="s">
        <v>13</v>
      </c>
      <c r="H45" s="2">
        <v>28106</v>
      </c>
      <c r="I45" s="7">
        <v>1</v>
      </c>
      <c r="J45" s="7">
        <v>1</v>
      </c>
      <c r="K45" s="7">
        <v>3</v>
      </c>
      <c r="L45" s="7">
        <v>3</v>
      </c>
      <c r="M45" s="7">
        <v>3</v>
      </c>
      <c r="N45" s="1">
        <f t="shared" si="2"/>
        <v>2</v>
      </c>
      <c r="O45" s="1" t="str">
        <f t="shared" si="1"/>
        <v>Meets Expectations</v>
      </c>
    </row>
    <row r="46" spans="1:15" x14ac:dyDescent="0.55000000000000004">
      <c r="A46" s="3">
        <v>1238911045</v>
      </c>
      <c r="B46" s="1" t="s">
        <v>12</v>
      </c>
      <c r="C46" s="6">
        <v>22798</v>
      </c>
      <c r="D46" s="6">
        <v>36400</v>
      </c>
      <c r="E46" s="6"/>
      <c r="F46" s="6"/>
      <c r="G46" s="1" t="s">
        <v>13</v>
      </c>
      <c r="H46" s="2">
        <v>29510</v>
      </c>
      <c r="I46" s="7">
        <v>1</v>
      </c>
      <c r="J46" s="7">
        <v>2</v>
      </c>
      <c r="K46" s="7">
        <v>2</v>
      </c>
      <c r="L46" s="7">
        <v>3</v>
      </c>
      <c r="M46" s="7">
        <v>2</v>
      </c>
      <c r="N46" s="1">
        <f t="shared" si="2"/>
        <v>2</v>
      </c>
      <c r="O46" s="1" t="str">
        <f t="shared" si="1"/>
        <v>Meets Expectations</v>
      </c>
    </row>
    <row r="47" spans="1:15" x14ac:dyDescent="0.55000000000000004">
      <c r="A47" s="3">
        <v>1238911046</v>
      </c>
      <c r="B47" s="1" t="s">
        <v>12</v>
      </c>
      <c r="C47" s="6">
        <v>22718</v>
      </c>
      <c r="D47" s="6">
        <v>38976</v>
      </c>
      <c r="E47" s="6"/>
      <c r="F47" s="6"/>
      <c r="G47" s="1" t="s">
        <v>13</v>
      </c>
      <c r="H47" s="2">
        <v>30524</v>
      </c>
      <c r="I47" s="7">
        <v>3</v>
      </c>
      <c r="J47" s="7">
        <v>1</v>
      </c>
      <c r="K47" s="7">
        <v>3</v>
      </c>
      <c r="L47" s="7">
        <v>2</v>
      </c>
      <c r="M47" s="7">
        <v>3</v>
      </c>
      <c r="N47" s="1">
        <f t="shared" si="2"/>
        <v>2</v>
      </c>
      <c r="O47" s="1" t="str">
        <f t="shared" si="1"/>
        <v>Meets Expectations</v>
      </c>
    </row>
    <row r="48" spans="1:15" x14ac:dyDescent="0.55000000000000004">
      <c r="A48" s="3">
        <v>1238911047</v>
      </c>
      <c r="B48" s="1" t="s">
        <v>14</v>
      </c>
      <c r="C48" s="6">
        <v>22823</v>
      </c>
      <c r="D48" s="6">
        <v>39846</v>
      </c>
      <c r="E48" s="6"/>
      <c r="F48" s="15" t="str">
        <f t="shared" ref="F48:F54" ca="1" si="7">IF(E48="",DATEDIF(D48,TODAY(),"y")&amp; "Years" &amp;DATEDIF(D48,TODAY(),"ym")&amp; "Months"&amp;DATEDIF(D48,TODAY(),"md") &amp;"Days",DATEDIF(D48,E48,"y")&amp; "Years" &amp;DATEDIF(D48,E48,"ym")&amp; "Months"&amp;DATEDIF(D48,E48,"md") &amp;"Days")</f>
        <v>17Years3Months11Days</v>
      </c>
      <c r="G48" s="1" t="s">
        <v>32</v>
      </c>
      <c r="H48" s="2">
        <v>35139</v>
      </c>
      <c r="I48" s="7">
        <v>1</v>
      </c>
      <c r="J48" s="7">
        <v>2</v>
      </c>
      <c r="K48" s="7">
        <v>1</v>
      </c>
      <c r="L48" s="7">
        <v>1</v>
      </c>
      <c r="M48" s="7">
        <v>3</v>
      </c>
      <c r="N48" s="1">
        <f t="shared" si="2"/>
        <v>2</v>
      </c>
      <c r="O48" s="1" t="str">
        <f t="shared" si="1"/>
        <v>Meets Expectations</v>
      </c>
    </row>
    <row r="49" spans="1:15" x14ac:dyDescent="0.55000000000000004">
      <c r="A49" s="3">
        <v>1238911048</v>
      </c>
      <c r="B49" s="1" t="s">
        <v>14</v>
      </c>
      <c r="C49" s="6">
        <v>22858</v>
      </c>
      <c r="D49" s="6">
        <v>37904</v>
      </c>
      <c r="E49" s="6"/>
      <c r="F49" s="15" t="str">
        <f t="shared" ca="1" si="7"/>
        <v>22Years7Months3Days</v>
      </c>
      <c r="G49" s="1" t="s">
        <v>33</v>
      </c>
      <c r="H49" s="2">
        <v>27300</v>
      </c>
      <c r="I49" s="7">
        <v>1</v>
      </c>
      <c r="J49" s="7">
        <v>2</v>
      </c>
      <c r="K49" s="7">
        <v>1</v>
      </c>
      <c r="L49" s="7">
        <v>1</v>
      </c>
      <c r="M49" s="7">
        <v>2</v>
      </c>
      <c r="N49" s="1">
        <f t="shared" si="2"/>
        <v>1</v>
      </c>
      <c r="O49" s="1" t="str">
        <f t="shared" si="1"/>
        <v>Below Expectations</v>
      </c>
    </row>
    <row r="50" spans="1:15" x14ac:dyDescent="0.55000000000000004">
      <c r="A50" s="3">
        <v>1238911049</v>
      </c>
      <c r="B50" s="1" t="s">
        <v>14</v>
      </c>
      <c r="C50" s="6">
        <v>26991</v>
      </c>
      <c r="D50" s="6">
        <v>38664</v>
      </c>
      <c r="E50" s="6"/>
      <c r="F50" s="15" t="str">
        <f t="shared" ca="1" si="7"/>
        <v>20Years6Months5Days</v>
      </c>
      <c r="G50" s="1" t="s">
        <v>13</v>
      </c>
      <c r="H50" s="2">
        <v>27300</v>
      </c>
      <c r="I50" s="7">
        <v>2</v>
      </c>
      <c r="J50" s="7">
        <v>1</v>
      </c>
      <c r="K50" s="7">
        <v>3</v>
      </c>
      <c r="L50" s="7">
        <v>1</v>
      </c>
      <c r="M50" s="7">
        <v>2</v>
      </c>
      <c r="N50" s="1">
        <f t="shared" si="2"/>
        <v>2</v>
      </c>
      <c r="O50" s="1" t="str">
        <f t="shared" si="1"/>
        <v>Meets Expectations</v>
      </c>
    </row>
    <row r="51" spans="1:15" x14ac:dyDescent="0.55000000000000004">
      <c r="A51" s="3">
        <v>1238911050</v>
      </c>
      <c r="B51" s="1" t="s">
        <v>14</v>
      </c>
      <c r="C51" s="6">
        <v>22888</v>
      </c>
      <c r="D51" s="6">
        <v>40019</v>
      </c>
      <c r="E51" s="6"/>
      <c r="F51" s="15" t="str">
        <f t="shared" ca="1" si="7"/>
        <v>16Years9Months18Days</v>
      </c>
      <c r="G51" s="1" t="s">
        <v>13</v>
      </c>
      <c r="H51" s="2">
        <v>27664</v>
      </c>
      <c r="I51" s="7">
        <v>2</v>
      </c>
      <c r="J51" s="7">
        <v>3</v>
      </c>
      <c r="K51" s="7">
        <v>2</v>
      </c>
      <c r="L51" s="7">
        <v>1</v>
      </c>
      <c r="M51" s="7">
        <v>3</v>
      </c>
      <c r="N51" s="1">
        <f t="shared" si="2"/>
        <v>2</v>
      </c>
      <c r="O51" s="1" t="str">
        <f t="shared" si="1"/>
        <v>Meets Expectations</v>
      </c>
    </row>
    <row r="52" spans="1:15" x14ac:dyDescent="0.55000000000000004">
      <c r="A52" s="3">
        <v>1238911051</v>
      </c>
      <c r="B52" s="1" t="s">
        <v>14</v>
      </c>
      <c r="C52" s="6">
        <v>22932</v>
      </c>
      <c r="D52" s="6">
        <v>38721</v>
      </c>
      <c r="E52" s="6"/>
      <c r="F52" s="15" t="str">
        <f t="shared" ca="1" si="7"/>
        <v>20Years4Months9Days</v>
      </c>
      <c r="G52" s="1" t="s">
        <v>25</v>
      </c>
      <c r="H52" s="2">
        <v>29822.5</v>
      </c>
      <c r="I52" s="7">
        <v>2</v>
      </c>
      <c r="J52" s="7">
        <v>1</v>
      </c>
      <c r="K52" s="7">
        <v>3</v>
      </c>
      <c r="L52" s="7">
        <v>2</v>
      </c>
      <c r="M52" s="7">
        <v>2</v>
      </c>
      <c r="N52" s="1">
        <f t="shared" si="2"/>
        <v>2</v>
      </c>
      <c r="O52" s="1" t="str">
        <f t="shared" si="1"/>
        <v>Meets Expectations</v>
      </c>
    </row>
    <row r="53" spans="1:15" x14ac:dyDescent="0.55000000000000004">
      <c r="A53" s="3">
        <v>1238911052</v>
      </c>
      <c r="B53" s="1" t="s">
        <v>14</v>
      </c>
      <c r="C53" s="6">
        <v>22997</v>
      </c>
      <c r="D53" s="6">
        <v>38009</v>
      </c>
      <c r="E53" s="6"/>
      <c r="F53" s="15" t="str">
        <f t="shared" ca="1" si="7"/>
        <v>22Years3Months20Days</v>
      </c>
      <c r="G53" s="1" t="s">
        <v>17</v>
      </c>
      <c r="H53" s="2">
        <v>33800</v>
      </c>
      <c r="I53" s="7">
        <v>3</v>
      </c>
      <c r="J53" s="7">
        <v>2</v>
      </c>
      <c r="K53" s="7">
        <v>3</v>
      </c>
      <c r="L53" s="7">
        <v>2</v>
      </c>
      <c r="M53" s="7">
        <v>3</v>
      </c>
      <c r="N53" s="1">
        <f t="shared" si="2"/>
        <v>3</v>
      </c>
      <c r="O53" s="1" t="str">
        <f t="shared" si="1"/>
        <v>Exceeds Expectations</v>
      </c>
    </row>
    <row r="54" spans="1:15" x14ac:dyDescent="0.55000000000000004">
      <c r="A54" s="3">
        <v>1238911053</v>
      </c>
      <c r="B54" s="1" t="s">
        <v>14</v>
      </c>
      <c r="C54" s="6">
        <v>23036</v>
      </c>
      <c r="D54" s="6">
        <v>36535</v>
      </c>
      <c r="E54" s="6"/>
      <c r="F54" s="15" t="str">
        <f t="shared" ca="1" si="7"/>
        <v>26Years4Months3Days</v>
      </c>
      <c r="G54" s="1" t="s">
        <v>13</v>
      </c>
      <c r="H54" s="2">
        <v>31460</v>
      </c>
      <c r="I54" s="7">
        <v>3</v>
      </c>
      <c r="J54" s="7">
        <v>3</v>
      </c>
      <c r="K54" s="7">
        <v>3</v>
      </c>
      <c r="L54" s="7">
        <v>1</v>
      </c>
      <c r="M54" s="7">
        <v>2</v>
      </c>
      <c r="N54" s="1">
        <f t="shared" si="2"/>
        <v>2</v>
      </c>
      <c r="O54" s="1" t="str">
        <f t="shared" si="1"/>
        <v>Meets Expectations</v>
      </c>
    </row>
    <row r="55" spans="1:15" x14ac:dyDescent="0.55000000000000004">
      <c r="A55" s="3">
        <v>1238911054</v>
      </c>
      <c r="B55" s="1" t="s">
        <v>12</v>
      </c>
      <c r="C55" s="6">
        <v>23077</v>
      </c>
      <c r="D55" s="6">
        <v>37105</v>
      </c>
      <c r="E55" s="6"/>
      <c r="F55" s="6"/>
      <c r="G55" s="1" t="s">
        <v>13</v>
      </c>
      <c r="H55" s="2">
        <v>30446</v>
      </c>
      <c r="I55" s="7">
        <v>3</v>
      </c>
      <c r="J55" s="7">
        <v>3</v>
      </c>
      <c r="K55" s="7">
        <v>3</v>
      </c>
      <c r="L55" s="7">
        <v>2</v>
      </c>
      <c r="M55" s="7">
        <v>3</v>
      </c>
      <c r="N55" s="1">
        <f t="shared" si="2"/>
        <v>3</v>
      </c>
      <c r="O55" s="1" t="str">
        <f t="shared" si="1"/>
        <v>Exceeds Expectations</v>
      </c>
    </row>
    <row r="56" spans="1:15" x14ac:dyDescent="0.55000000000000004">
      <c r="A56" s="3">
        <v>1238911055</v>
      </c>
      <c r="B56" s="1" t="s">
        <v>12</v>
      </c>
      <c r="C56" s="6">
        <v>22465</v>
      </c>
      <c r="D56" s="6">
        <v>33014</v>
      </c>
      <c r="E56" s="6">
        <v>42422</v>
      </c>
      <c r="F56" s="6"/>
      <c r="G56" s="1" t="s">
        <v>13</v>
      </c>
      <c r="H56" s="2">
        <v>30446</v>
      </c>
      <c r="I56" s="7">
        <v>1</v>
      </c>
      <c r="J56" s="7">
        <v>3</v>
      </c>
      <c r="K56" s="7">
        <v>2</v>
      </c>
      <c r="L56" s="7">
        <v>2</v>
      </c>
      <c r="M56" s="7">
        <v>1</v>
      </c>
      <c r="N56" s="1">
        <f t="shared" si="2"/>
        <v>2</v>
      </c>
      <c r="O56" s="1" t="str">
        <f t="shared" si="1"/>
        <v>Meets Expectations</v>
      </c>
    </row>
    <row r="57" spans="1:15" x14ac:dyDescent="0.55000000000000004">
      <c r="A57" s="3">
        <v>1238911056</v>
      </c>
      <c r="B57" s="1" t="s">
        <v>12</v>
      </c>
      <c r="C57" s="6">
        <v>23089</v>
      </c>
      <c r="D57" s="6">
        <v>44459</v>
      </c>
      <c r="E57" s="6">
        <v>45478</v>
      </c>
      <c r="F57" s="6"/>
      <c r="G57" s="1" t="s">
        <v>13</v>
      </c>
      <c r="H57" s="2">
        <v>31616</v>
      </c>
      <c r="I57" s="7">
        <v>3</v>
      </c>
      <c r="J57" s="7">
        <v>2</v>
      </c>
      <c r="K57" s="7">
        <v>3</v>
      </c>
      <c r="L57" s="7">
        <v>2</v>
      </c>
      <c r="M57" s="7">
        <v>3</v>
      </c>
      <c r="N57" s="1">
        <f t="shared" si="2"/>
        <v>3</v>
      </c>
      <c r="O57" s="1" t="str">
        <f t="shared" si="1"/>
        <v>Exceeds Expectations</v>
      </c>
    </row>
    <row r="58" spans="1:15" x14ac:dyDescent="0.55000000000000004">
      <c r="A58" s="3">
        <v>1238911057</v>
      </c>
      <c r="B58" s="1" t="s">
        <v>14</v>
      </c>
      <c r="C58" s="6">
        <v>23153</v>
      </c>
      <c r="D58" s="6">
        <v>40172</v>
      </c>
      <c r="E58" s="6"/>
      <c r="F58" s="15" t="str">
        <f t="shared" ref="F58:F59" ca="1" si="8">IF(E58="",DATEDIF(D58,TODAY(),"y")&amp; "Years" &amp;DATEDIF(D58,TODAY(),"ym")&amp; "Months"&amp;DATEDIF(D58,TODAY(),"md") &amp;"Days",DATEDIF(D58,E58,"y")&amp; "Years" &amp;DATEDIF(D58,E58,"ym")&amp; "Months"&amp;DATEDIF(D58,E58,"md") &amp;"Days")</f>
        <v>16Years4Months18Days</v>
      </c>
      <c r="G58" s="1" t="s">
        <v>34</v>
      </c>
      <c r="H58" s="2">
        <v>29900</v>
      </c>
      <c r="I58" s="7">
        <v>3</v>
      </c>
      <c r="J58" s="7">
        <v>3</v>
      </c>
      <c r="K58" s="7">
        <v>1</v>
      </c>
      <c r="L58" s="7">
        <v>3</v>
      </c>
      <c r="M58" s="7">
        <v>2</v>
      </c>
      <c r="N58" s="1">
        <f t="shared" si="2"/>
        <v>2</v>
      </c>
      <c r="O58" s="1" t="str">
        <f t="shared" si="1"/>
        <v>Meets Expectations</v>
      </c>
    </row>
    <row r="59" spans="1:15" x14ac:dyDescent="0.55000000000000004">
      <c r="A59" s="3">
        <v>1238911058</v>
      </c>
      <c r="B59" s="1" t="s">
        <v>14</v>
      </c>
      <c r="C59" s="6">
        <v>23012</v>
      </c>
      <c r="D59" s="6">
        <v>37729</v>
      </c>
      <c r="E59" s="6"/>
      <c r="F59" s="15" t="str">
        <f t="shared" ca="1" si="8"/>
        <v>23Years0Months25Days</v>
      </c>
      <c r="G59" s="1" t="s">
        <v>25</v>
      </c>
      <c r="H59" s="2">
        <v>27404</v>
      </c>
      <c r="I59" s="7">
        <v>2</v>
      </c>
      <c r="J59" s="7">
        <v>1</v>
      </c>
      <c r="K59" s="7">
        <v>3</v>
      </c>
      <c r="L59" s="7">
        <v>3</v>
      </c>
      <c r="M59" s="7">
        <v>2</v>
      </c>
      <c r="N59" s="1">
        <f t="shared" si="2"/>
        <v>2</v>
      </c>
      <c r="O59" s="1" t="str">
        <f t="shared" si="1"/>
        <v>Meets Expectations</v>
      </c>
    </row>
    <row r="60" spans="1:15" x14ac:dyDescent="0.55000000000000004">
      <c r="A60" s="3">
        <v>1238911059</v>
      </c>
      <c r="B60" s="1" t="s">
        <v>12</v>
      </c>
      <c r="C60" s="6">
        <v>23210</v>
      </c>
      <c r="D60" s="6">
        <v>35783</v>
      </c>
      <c r="E60" s="6"/>
      <c r="F60" s="6"/>
      <c r="G60" s="1" t="s">
        <v>35</v>
      </c>
      <c r="H60" s="2">
        <v>152059.69999999998</v>
      </c>
      <c r="I60" s="7">
        <v>2</v>
      </c>
      <c r="J60" s="7">
        <v>2</v>
      </c>
      <c r="K60" s="7">
        <v>3</v>
      </c>
      <c r="L60" s="7">
        <v>2</v>
      </c>
      <c r="M60" s="7">
        <v>2</v>
      </c>
      <c r="N60" s="1">
        <f t="shared" si="2"/>
        <v>2</v>
      </c>
      <c r="O60" s="1" t="str">
        <f t="shared" si="1"/>
        <v>Meets Expectations</v>
      </c>
    </row>
    <row r="61" spans="1:15" x14ac:dyDescent="0.55000000000000004">
      <c r="A61" s="3">
        <v>1238911060</v>
      </c>
      <c r="B61" s="1" t="s">
        <v>12</v>
      </c>
      <c r="C61" s="6">
        <v>24871</v>
      </c>
      <c r="D61" s="6">
        <v>36353</v>
      </c>
      <c r="E61" s="6">
        <v>43604</v>
      </c>
      <c r="F61" s="6"/>
      <c r="G61" s="1" t="s">
        <v>36</v>
      </c>
      <c r="H61" s="2">
        <v>75337.274999999994</v>
      </c>
      <c r="I61" s="7">
        <v>3</v>
      </c>
      <c r="J61" s="7">
        <v>1</v>
      </c>
      <c r="K61" s="7">
        <v>2</v>
      </c>
      <c r="L61" s="7">
        <v>1</v>
      </c>
      <c r="M61" s="7">
        <v>3</v>
      </c>
      <c r="N61" s="1">
        <f t="shared" si="2"/>
        <v>2</v>
      </c>
      <c r="O61" s="1" t="str">
        <f t="shared" si="1"/>
        <v>Meets Expectations</v>
      </c>
    </row>
    <row r="62" spans="1:15" x14ac:dyDescent="0.55000000000000004">
      <c r="A62" s="3">
        <v>1238911061</v>
      </c>
      <c r="B62" s="1" t="s">
        <v>12</v>
      </c>
      <c r="C62" s="6">
        <v>23215</v>
      </c>
      <c r="D62" s="6">
        <v>40386</v>
      </c>
      <c r="E62" s="6"/>
      <c r="F62" s="6"/>
      <c r="G62" s="1" t="s">
        <v>36</v>
      </c>
      <c r="H62" s="2">
        <v>75337.274999999994</v>
      </c>
      <c r="I62" s="7">
        <v>1</v>
      </c>
      <c r="J62" s="7">
        <v>1</v>
      </c>
      <c r="K62" s="7">
        <v>3</v>
      </c>
      <c r="L62" s="7">
        <v>1</v>
      </c>
      <c r="M62" s="7">
        <v>1</v>
      </c>
      <c r="N62" s="1">
        <f t="shared" si="2"/>
        <v>1</v>
      </c>
      <c r="O62" s="1" t="str">
        <f t="shared" si="1"/>
        <v>Below Expectations</v>
      </c>
    </row>
    <row r="63" spans="1:15" x14ac:dyDescent="0.55000000000000004">
      <c r="A63" s="3">
        <v>1238911062</v>
      </c>
      <c r="B63" s="1" t="s">
        <v>14</v>
      </c>
      <c r="C63" s="6">
        <v>23237</v>
      </c>
      <c r="D63" s="6">
        <v>37476</v>
      </c>
      <c r="E63" s="6"/>
      <c r="F63" s="15" t="str">
        <f t="shared" ref="F63:F66" ca="1" si="9">IF(E63="",DATEDIF(D63,TODAY(),"y")&amp; "Years" &amp;DATEDIF(D63,TODAY(),"ym")&amp; "Months"&amp;DATEDIF(D63,TODAY(),"md") &amp;"Days",DATEDIF(D63,E63,"y")&amp; "Years" &amp;DATEDIF(D63,E63,"ym")&amp; "Months"&amp;DATEDIF(D63,E63,"md") &amp;"Days")</f>
        <v>23Years9Months5Days</v>
      </c>
      <c r="G63" s="1" t="s">
        <v>13</v>
      </c>
      <c r="H63" s="2">
        <v>27300</v>
      </c>
      <c r="I63" s="7">
        <v>2</v>
      </c>
      <c r="J63" s="7">
        <v>2</v>
      </c>
      <c r="K63" s="7">
        <v>3</v>
      </c>
      <c r="L63" s="7">
        <v>1</v>
      </c>
      <c r="M63" s="7">
        <v>3</v>
      </c>
      <c r="N63" s="1">
        <f t="shared" si="2"/>
        <v>2</v>
      </c>
      <c r="O63" s="1" t="str">
        <f t="shared" si="1"/>
        <v>Meets Expectations</v>
      </c>
    </row>
    <row r="64" spans="1:15" x14ac:dyDescent="0.55000000000000004">
      <c r="A64" s="3">
        <v>1238911063</v>
      </c>
      <c r="B64" s="1" t="s">
        <v>14</v>
      </c>
      <c r="C64" s="6">
        <v>23041</v>
      </c>
      <c r="D64" s="6">
        <v>39338</v>
      </c>
      <c r="E64" s="6"/>
      <c r="F64" s="15" t="str">
        <f t="shared" ca="1" si="9"/>
        <v>18Years8Months0Days</v>
      </c>
      <c r="G64" s="1" t="s">
        <v>13</v>
      </c>
      <c r="H64" s="2">
        <v>27300</v>
      </c>
      <c r="I64" s="7">
        <v>1</v>
      </c>
      <c r="J64" s="7">
        <v>1</v>
      </c>
      <c r="K64" s="7">
        <v>1</v>
      </c>
      <c r="L64" s="7">
        <v>2</v>
      </c>
      <c r="M64" s="7">
        <v>2</v>
      </c>
      <c r="N64" s="1">
        <f t="shared" si="2"/>
        <v>1</v>
      </c>
      <c r="O64" s="1" t="str">
        <f t="shared" si="1"/>
        <v>Below Expectations</v>
      </c>
    </row>
    <row r="65" spans="1:15" x14ac:dyDescent="0.55000000000000004">
      <c r="A65" s="3">
        <v>1238911064</v>
      </c>
      <c r="B65" s="1" t="s">
        <v>14</v>
      </c>
      <c r="C65" s="6">
        <v>23303</v>
      </c>
      <c r="D65" s="6">
        <v>40471</v>
      </c>
      <c r="E65" s="6"/>
      <c r="F65" s="15" t="str">
        <f t="shared" ca="1" si="9"/>
        <v>15Years6Months23Days</v>
      </c>
      <c r="G65" s="1" t="s">
        <v>13</v>
      </c>
      <c r="H65" s="2">
        <v>27794</v>
      </c>
      <c r="I65" s="7">
        <v>2</v>
      </c>
      <c r="J65" s="7">
        <v>3</v>
      </c>
      <c r="K65" s="7">
        <v>1</v>
      </c>
      <c r="L65" s="7">
        <v>1</v>
      </c>
      <c r="M65" s="7">
        <v>1</v>
      </c>
      <c r="N65" s="1">
        <f t="shared" si="2"/>
        <v>2</v>
      </c>
      <c r="O65" s="1" t="str">
        <f t="shared" si="1"/>
        <v>Meets Expectations</v>
      </c>
    </row>
    <row r="66" spans="1:15" x14ac:dyDescent="0.55000000000000004">
      <c r="A66" s="3">
        <v>1238911065</v>
      </c>
      <c r="B66" s="1" t="s">
        <v>14</v>
      </c>
      <c r="C66" s="6">
        <v>23316</v>
      </c>
      <c r="D66" s="6">
        <v>39788</v>
      </c>
      <c r="E66" s="6"/>
      <c r="F66" s="15" t="str">
        <f t="shared" ca="1" si="9"/>
        <v>17Years5Months7Days</v>
      </c>
      <c r="G66" s="1" t="s">
        <v>37</v>
      </c>
      <c r="H66" s="2">
        <v>26520</v>
      </c>
      <c r="I66" s="7">
        <v>2</v>
      </c>
      <c r="J66" s="7">
        <v>2</v>
      </c>
      <c r="K66" s="7">
        <v>3</v>
      </c>
      <c r="L66" s="7">
        <v>1</v>
      </c>
      <c r="M66" s="7">
        <v>3</v>
      </c>
      <c r="N66" s="1">
        <f t="shared" si="2"/>
        <v>2</v>
      </c>
      <c r="O66" s="1" t="str">
        <f t="shared" si="1"/>
        <v>Meets Expectations</v>
      </c>
    </row>
    <row r="67" spans="1:15" x14ac:dyDescent="0.55000000000000004">
      <c r="A67" s="3">
        <v>1238911066</v>
      </c>
      <c r="B67" s="1" t="s">
        <v>12</v>
      </c>
      <c r="C67" s="6">
        <v>25209</v>
      </c>
      <c r="D67" s="6">
        <v>42462</v>
      </c>
      <c r="E67" s="6">
        <v>43743</v>
      </c>
      <c r="F67" s="6"/>
      <c r="G67" s="1" t="s">
        <v>13</v>
      </c>
      <c r="H67" s="2">
        <v>27404</v>
      </c>
      <c r="I67" s="7">
        <v>1</v>
      </c>
      <c r="J67" s="7">
        <v>2</v>
      </c>
      <c r="K67" s="7">
        <v>2</v>
      </c>
      <c r="L67" s="7">
        <v>2</v>
      </c>
      <c r="M67" s="7">
        <v>1</v>
      </c>
      <c r="N67" s="1">
        <f t="shared" si="2"/>
        <v>2</v>
      </c>
      <c r="O67" s="1" t="str">
        <f t="shared" si="1"/>
        <v>Meets Expectations</v>
      </c>
    </row>
    <row r="68" spans="1:15" x14ac:dyDescent="0.55000000000000004">
      <c r="A68" s="3">
        <v>1238911067</v>
      </c>
      <c r="B68" s="1" t="s">
        <v>14</v>
      </c>
      <c r="C68" s="6">
        <v>23468</v>
      </c>
      <c r="D68" s="6">
        <v>37779</v>
      </c>
      <c r="E68" s="6"/>
      <c r="F68" s="15" t="str">
        <f t="shared" ref="F68:F69" ca="1" si="10">IF(E68="",DATEDIF(D68,TODAY(),"y")&amp; "Years" &amp;DATEDIF(D68,TODAY(),"ym")&amp; "Months"&amp;DATEDIF(D68,TODAY(),"md") &amp;"Days",DATEDIF(D68,E68,"y")&amp; "Years" &amp;DATEDIF(D68,E68,"ym")&amp; "Months"&amp;DATEDIF(D68,E68,"md") &amp;"Days")</f>
        <v>22Years11Months6Days</v>
      </c>
      <c r="G68" s="1" t="s">
        <v>32</v>
      </c>
      <c r="H68" s="2">
        <v>27569.324999999997</v>
      </c>
      <c r="I68" s="7">
        <v>1</v>
      </c>
      <c r="J68" s="7">
        <v>1</v>
      </c>
      <c r="K68" s="7">
        <v>1</v>
      </c>
      <c r="L68" s="7">
        <v>2</v>
      </c>
      <c r="M68" s="7">
        <v>1</v>
      </c>
      <c r="N68" s="1">
        <f t="shared" si="2"/>
        <v>1</v>
      </c>
      <c r="O68" s="1" t="str">
        <f t="shared" ref="O68:O131" si="11">IF(N68=1,"Below Expectations",IF(N68=2,"Meets Expectations","Exceeds Expectations"))</f>
        <v>Below Expectations</v>
      </c>
    </row>
    <row r="69" spans="1:15" x14ac:dyDescent="0.55000000000000004">
      <c r="A69" s="3">
        <v>1238911068</v>
      </c>
      <c r="B69" s="1" t="s">
        <v>14</v>
      </c>
      <c r="C69" s="6">
        <v>23493</v>
      </c>
      <c r="D69" s="6">
        <v>42667</v>
      </c>
      <c r="E69" s="6">
        <v>43382</v>
      </c>
      <c r="F69" s="15" t="str">
        <f t="shared" ca="1" si="10"/>
        <v>1Years11Months15Days</v>
      </c>
      <c r="G69" s="1" t="s">
        <v>32</v>
      </c>
      <c r="H69" s="2">
        <v>30706</v>
      </c>
      <c r="I69" s="7">
        <v>2</v>
      </c>
      <c r="J69" s="7">
        <v>1</v>
      </c>
      <c r="K69" s="7">
        <v>3</v>
      </c>
      <c r="L69" s="7">
        <v>2</v>
      </c>
      <c r="M69" s="7">
        <v>3</v>
      </c>
      <c r="N69" s="1">
        <f t="shared" si="2"/>
        <v>2</v>
      </c>
      <c r="O69" s="1" t="str">
        <f t="shared" si="11"/>
        <v>Meets Expectations</v>
      </c>
    </row>
    <row r="70" spans="1:15" x14ac:dyDescent="0.55000000000000004">
      <c r="A70" s="3">
        <v>1238911069</v>
      </c>
      <c r="B70" s="1" t="s">
        <v>12</v>
      </c>
      <c r="C70" s="6">
        <v>23563</v>
      </c>
      <c r="D70" s="6">
        <v>43464</v>
      </c>
      <c r="E70" s="6">
        <v>44662</v>
      </c>
      <c r="F70" s="6"/>
      <c r="G70" s="1" t="s">
        <v>13</v>
      </c>
      <c r="H70" s="2">
        <v>28340</v>
      </c>
      <c r="I70" s="7">
        <v>3</v>
      </c>
      <c r="J70" s="7">
        <v>1</v>
      </c>
      <c r="K70" s="7">
        <v>3</v>
      </c>
      <c r="L70" s="7">
        <v>1</v>
      </c>
      <c r="M70" s="7">
        <v>2</v>
      </c>
      <c r="N70" s="1">
        <f t="shared" si="2"/>
        <v>2</v>
      </c>
      <c r="O70" s="1" t="str">
        <f t="shared" si="11"/>
        <v>Meets Expectations</v>
      </c>
    </row>
    <row r="71" spans="1:15" x14ac:dyDescent="0.55000000000000004">
      <c r="A71" s="3">
        <v>1238911070</v>
      </c>
      <c r="B71" s="1" t="s">
        <v>12</v>
      </c>
      <c r="C71" s="6">
        <v>23598</v>
      </c>
      <c r="D71" s="6">
        <v>39668</v>
      </c>
      <c r="E71" s="6"/>
      <c r="F71" s="6"/>
      <c r="G71" s="1" t="s">
        <v>13</v>
      </c>
      <c r="H71" s="2">
        <v>29198</v>
      </c>
      <c r="I71" s="7">
        <v>2</v>
      </c>
      <c r="J71" s="7">
        <v>1</v>
      </c>
      <c r="K71" s="7">
        <v>3</v>
      </c>
      <c r="L71" s="7">
        <v>1</v>
      </c>
      <c r="M71" s="7">
        <v>3</v>
      </c>
      <c r="N71" s="1">
        <f t="shared" si="2"/>
        <v>2</v>
      </c>
      <c r="O71" s="1" t="str">
        <f t="shared" si="11"/>
        <v>Meets Expectations</v>
      </c>
    </row>
    <row r="72" spans="1:15" x14ac:dyDescent="0.55000000000000004">
      <c r="A72" s="3">
        <v>1238911071</v>
      </c>
      <c r="B72" s="1" t="s">
        <v>14</v>
      </c>
      <c r="C72" s="6">
        <v>23621</v>
      </c>
      <c r="D72" s="6">
        <v>37114</v>
      </c>
      <c r="E72" s="6"/>
      <c r="F72" s="15" t="str">
        <f t="shared" ref="F72:F74" ca="1" si="12">IF(E72="",DATEDIF(D72,TODAY(),"y")&amp; "Years" &amp;DATEDIF(D72,TODAY(),"ym")&amp; "Months"&amp;DATEDIF(D72,TODAY(),"md") &amp;"Days",DATEDIF(D72,E72,"y")&amp; "Years" &amp;DATEDIF(D72,E72,"ym")&amp; "Months"&amp;DATEDIF(D72,E72,"md") &amp;"Days")</f>
        <v>24Years9Months2Days</v>
      </c>
      <c r="G72" s="1" t="s">
        <v>13</v>
      </c>
      <c r="H72" s="2">
        <v>26650</v>
      </c>
      <c r="I72" s="7">
        <v>3</v>
      </c>
      <c r="J72" s="7">
        <v>1</v>
      </c>
      <c r="K72" s="7">
        <v>3</v>
      </c>
      <c r="L72" s="7">
        <v>2</v>
      </c>
      <c r="M72" s="7">
        <v>1</v>
      </c>
      <c r="N72" s="1">
        <f t="shared" ref="N72:N135" si="13">ROUND(AVERAGE(I72:M72),0)</f>
        <v>2</v>
      </c>
      <c r="O72" s="1" t="str">
        <f t="shared" si="11"/>
        <v>Meets Expectations</v>
      </c>
    </row>
    <row r="73" spans="1:15" x14ac:dyDescent="0.55000000000000004">
      <c r="A73" s="3">
        <v>1238911072</v>
      </c>
      <c r="B73" s="1" t="s">
        <v>14</v>
      </c>
      <c r="C73" s="6">
        <v>23647</v>
      </c>
      <c r="D73" s="6">
        <v>36498</v>
      </c>
      <c r="E73" s="6"/>
      <c r="F73" s="15" t="str">
        <f t="shared" ca="1" si="12"/>
        <v>26Years5Months9Days</v>
      </c>
      <c r="G73" s="1" t="s">
        <v>25</v>
      </c>
      <c r="H73" s="2">
        <v>32266</v>
      </c>
      <c r="I73" s="7">
        <v>2</v>
      </c>
      <c r="J73" s="7">
        <v>3</v>
      </c>
      <c r="K73" s="7">
        <v>1</v>
      </c>
      <c r="L73" s="7">
        <v>3</v>
      </c>
      <c r="M73" s="7">
        <v>3</v>
      </c>
      <c r="N73" s="1">
        <f t="shared" si="13"/>
        <v>2</v>
      </c>
      <c r="O73" s="1" t="str">
        <f t="shared" si="11"/>
        <v>Meets Expectations</v>
      </c>
    </row>
    <row r="74" spans="1:15" x14ac:dyDescent="0.55000000000000004">
      <c r="A74" s="3">
        <v>1238911073</v>
      </c>
      <c r="B74" s="1" t="s">
        <v>14</v>
      </c>
      <c r="C74" s="6">
        <v>23680</v>
      </c>
      <c r="D74" s="6">
        <v>44455</v>
      </c>
      <c r="E74" s="6">
        <v>45171</v>
      </c>
      <c r="F74" s="15" t="str">
        <f t="shared" ca="1" si="12"/>
        <v>1Years11Months17Days</v>
      </c>
      <c r="G74" s="1" t="s">
        <v>25</v>
      </c>
      <c r="H74" s="2">
        <v>32266</v>
      </c>
      <c r="I74" s="7">
        <v>3</v>
      </c>
      <c r="J74" s="7">
        <v>2</v>
      </c>
      <c r="K74" s="7">
        <v>3</v>
      </c>
      <c r="L74" s="7">
        <v>2</v>
      </c>
      <c r="M74" s="7">
        <v>2</v>
      </c>
      <c r="N74" s="1">
        <f t="shared" si="13"/>
        <v>2</v>
      </c>
      <c r="O74" s="1" t="str">
        <f t="shared" si="11"/>
        <v>Meets Expectations</v>
      </c>
    </row>
    <row r="75" spans="1:15" x14ac:dyDescent="0.55000000000000004">
      <c r="A75" s="3">
        <v>1238911074</v>
      </c>
      <c r="B75" s="1" t="s">
        <v>12</v>
      </c>
      <c r="C75" s="6">
        <v>23659</v>
      </c>
      <c r="D75" s="6">
        <v>36400</v>
      </c>
      <c r="E75" s="6"/>
      <c r="F75" s="6"/>
      <c r="G75" s="1" t="s">
        <v>13</v>
      </c>
      <c r="H75" s="2">
        <v>27300</v>
      </c>
      <c r="I75" s="7">
        <v>1</v>
      </c>
      <c r="J75" s="7">
        <v>2</v>
      </c>
      <c r="K75" s="7">
        <v>1</v>
      </c>
      <c r="L75" s="7">
        <v>2</v>
      </c>
      <c r="M75" s="7">
        <v>2</v>
      </c>
      <c r="N75" s="1">
        <f t="shared" si="13"/>
        <v>2</v>
      </c>
      <c r="O75" s="1" t="str">
        <f t="shared" si="11"/>
        <v>Meets Expectations</v>
      </c>
    </row>
    <row r="76" spans="1:15" x14ac:dyDescent="0.55000000000000004">
      <c r="A76" s="3">
        <v>1238911075</v>
      </c>
      <c r="B76" s="1" t="s">
        <v>12</v>
      </c>
      <c r="C76" s="6">
        <v>23715</v>
      </c>
      <c r="D76" s="6">
        <v>39846</v>
      </c>
      <c r="E76" s="6"/>
      <c r="F76" s="6"/>
      <c r="G76" s="1" t="s">
        <v>38</v>
      </c>
      <c r="H76" s="2">
        <v>425199.77500000002</v>
      </c>
      <c r="I76" s="7">
        <v>3</v>
      </c>
      <c r="J76" s="7">
        <v>2</v>
      </c>
      <c r="K76" s="7">
        <v>3</v>
      </c>
      <c r="L76" s="7">
        <v>3</v>
      </c>
      <c r="M76" s="7">
        <v>3</v>
      </c>
      <c r="N76" s="1">
        <f t="shared" si="13"/>
        <v>3</v>
      </c>
      <c r="O76" s="1" t="str">
        <f t="shared" si="11"/>
        <v>Exceeds Expectations</v>
      </c>
    </row>
    <row r="77" spans="1:15" x14ac:dyDescent="0.55000000000000004">
      <c r="A77" s="3">
        <v>1238911076</v>
      </c>
      <c r="B77" s="1" t="s">
        <v>14</v>
      </c>
      <c r="C77" s="6">
        <v>23719</v>
      </c>
      <c r="D77" s="6">
        <v>37904</v>
      </c>
      <c r="E77" s="6"/>
      <c r="F77" s="15" t="str">
        <f t="shared" ref="F77:F78" ca="1" si="14">IF(E77="",DATEDIF(D77,TODAY(),"y")&amp; "Years" &amp;DATEDIF(D77,TODAY(),"ym")&amp; "Months"&amp;DATEDIF(D77,TODAY(),"md") &amp;"Days",DATEDIF(D77,E77,"y")&amp; "Years" &amp;DATEDIF(D77,E77,"ym")&amp; "Months"&amp;DATEDIF(D77,E77,"md") &amp;"Days")</f>
        <v>22Years7Months3Days</v>
      </c>
      <c r="G77" s="1" t="s">
        <v>13</v>
      </c>
      <c r="H77" s="2">
        <v>27300</v>
      </c>
      <c r="I77" s="7">
        <v>2</v>
      </c>
      <c r="J77" s="7">
        <v>3</v>
      </c>
      <c r="K77" s="7">
        <v>1</v>
      </c>
      <c r="L77" s="7">
        <v>1</v>
      </c>
      <c r="M77" s="7">
        <v>1</v>
      </c>
      <c r="N77" s="1">
        <f t="shared" si="13"/>
        <v>2</v>
      </c>
      <c r="O77" s="1" t="str">
        <f t="shared" si="11"/>
        <v>Meets Expectations</v>
      </c>
    </row>
    <row r="78" spans="1:15" x14ac:dyDescent="0.55000000000000004">
      <c r="A78" s="3">
        <v>1238911077</v>
      </c>
      <c r="B78" s="1" t="s">
        <v>14</v>
      </c>
      <c r="C78" s="6">
        <v>23732</v>
      </c>
      <c r="D78" s="6">
        <v>40019</v>
      </c>
      <c r="E78" s="6"/>
      <c r="F78" s="15" t="str">
        <f t="shared" ca="1" si="14"/>
        <v>16Years9Months18Days</v>
      </c>
      <c r="G78" s="1" t="s">
        <v>13</v>
      </c>
      <c r="H78" s="2">
        <v>27300</v>
      </c>
      <c r="I78" s="7">
        <v>1</v>
      </c>
      <c r="J78" s="7">
        <v>3</v>
      </c>
      <c r="K78" s="7">
        <v>1</v>
      </c>
      <c r="L78" s="7">
        <v>3</v>
      </c>
      <c r="M78" s="7">
        <v>2</v>
      </c>
      <c r="N78" s="1">
        <f t="shared" si="13"/>
        <v>2</v>
      </c>
      <c r="O78" s="1" t="str">
        <f t="shared" si="11"/>
        <v>Meets Expectations</v>
      </c>
    </row>
    <row r="79" spans="1:15" x14ac:dyDescent="0.55000000000000004">
      <c r="A79" s="3">
        <v>1238911078</v>
      </c>
      <c r="B79" s="1" t="s">
        <v>14</v>
      </c>
      <c r="C79" s="6">
        <v>23876</v>
      </c>
      <c r="D79" s="6">
        <v>38009</v>
      </c>
      <c r="E79" s="6">
        <v>45201</v>
      </c>
      <c r="F79" s="6"/>
      <c r="G79" s="1" t="s">
        <v>26</v>
      </c>
      <c r="H79" s="2">
        <v>77809.224999999991</v>
      </c>
      <c r="I79" s="7">
        <v>3</v>
      </c>
      <c r="J79" s="7">
        <v>3</v>
      </c>
      <c r="K79" s="7">
        <v>2</v>
      </c>
      <c r="L79" s="7">
        <v>1</v>
      </c>
      <c r="M79" s="7">
        <v>3</v>
      </c>
      <c r="N79" s="1">
        <f t="shared" si="13"/>
        <v>2</v>
      </c>
      <c r="O79" s="1" t="str">
        <f t="shared" si="11"/>
        <v>Meets Expectations</v>
      </c>
    </row>
    <row r="80" spans="1:15" x14ac:dyDescent="0.55000000000000004">
      <c r="A80" s="3">
        <v>1238911079</v>
      </c>
      <c r="B80" s="1" t="s">
        <v>12</v>
      </c>
      <c r="C80" s="6">
        <v>23930</v>
      </c>
      <c r="D80" s="6">
        <v>43840</v>
      </c>
      <c r="E80" s="6">
        <v>45169</v>
      </c>
      <c r="F80" s="6"/>
      <c r="G80" s="1" t="s">
        <v>13</v>
      </c>
      <c r="H80" s="2">
        <v>27300</v>
      </c>
      <c r="I80" s="7">
        <v>3</v>
      </c>
      <c r="J80" s="7">
        <v>3</v>
      </c>
      <c r="K80" s="7">
        <v>3</v>
      </c>
      <c r="L80" s="7">
        <v>3</v>
      </c>
      <c r="M80" s="7">
        <v>1</v>
      </c>
      <c r="N80" s="1">
        <f t="shared" si="13"/>
        <v>3</v>
      </c>
      <c r="O80" s="1" t="str">
        <f t="shared" si="11"/>
        <v>Exceeds Expectations</v>
      </c>
    </row>
    <row r="81" spans="1:15" x14ac:dyDescent="0.55000000000000004">
      <c r="A81" s="3">
        <v>1238911080</v>
      </c>
      <c r="B81" s="1" t="s">
        <v>14</v>
      </c>
      <c r="C81" s="6">
        <v>24076</v>
      </c>
      <c r="D81" s="6">
        <v>37105</v>
      </c>
      <c r="E81" s="6">
        <v>42146</v>
      </c>
      <c r="F81" s="6"/>
      <c r="G81" s="1" t="s">
        <v>36</v>
      </c>
      <c r="H81" s="2">
        <v>59097.675000000003</v>
      </c>
      <c r="I81" s="7">
        <v>1</v>
      </c>
      <c r="J81" s="7">
        <v>1</v>
      </c>
      <c r="K81" s="7">
        <v>3</v>
      </c>
      <c r="L81" s="7">
        <v>1</v>
      </c>
      <c r="M81" s="7">
        <v>2</v>
      </c>
      <c r="N81" s="1">
        <f t="shared" si="13"/>
        <v>2</v>
      </c>
      <c r="O81" s="1" t="str">
        <f t="shared" si="11"/>
        <v>Meets Expectations</v>
      </c>
    </row>
    <row r="82" spans="1:15" x14ac:dyDescent="0.55000000000000004">
      <c r="A82" s="3">
        <v>1238911081</v>
      </c>
      <c r="B82" s="1" t="s">
        <v>12</v>
      </c>
      <c r="C82" s="6">
        <v>23832</v>
      </c>
      <c r="D82" s="6">
        <v>36423</v>
      </c>
      <c r="E82" s="6"/>
      <c r="F82" s="6"/>
      <c r="G82" s="1" t="s">
        <v>23</v>
      </c>
      <c r="H82" s="2">
        <v>59097.675000000003</v>
      </c>
      <c r="I82" s="7">
        <v>2</v>
      </c>
      <c r="J82" s="7">
        <v>2</v>
      </c>
      <c r="K82" s="7">
        <v>1</v>
      </c>
      <c r="L82" s="7">
        <v>2</v>
      </c>
      <c r="M82" s="7">
        <v>1</v>
      </c>
      <c r="N82" s="1">
        <f t="shared" si="13"/>
        <v>2</v>
      </c>
      <c r="O82" s="1" t="str">
        <f t="shared" si="11"/>
        <v>Meets Expectations</v>
      </c>
    </row>
    <row r="83" spans="1:15" x14ac:dyDescent="0.55000000000000004">
      <c r="A83" s="3">
        <v>1238911082</v>
      </c>
      <c r="B83" s="1" t="s">
        <v>12</v>
      </c>
      <c r="C83" s="6">
        <v>23953</v>
      </c>
      <c r="D83" s="6">
        <v>37729</v>
      </c>
      <c r="E83" s="6"/>
      <c r="F83" s="6"/>
      <c r="G83" s="1" t="s">
        <v>13</v>
      </c>
      <c r="H83" s="2">
        <v>31616</v>
      </c>
      <c r="I83" s="7">
        <v>3</v>
      </c>
      <c r="J83" s="7">
        <v>2</v>
      </c>
      <c r="K83" s="7">
        <v>3</v>
      </c>
      <c r="L83" s="7">
        <v>2</v>
      </c>
      <c r="M83" s="7">
        <v>2</v>
      </c>
      <c r="N83" s="1">
        <f t="shared" si="13"/>
        <v>2</v>
      </c>
      <c r="O83" s="1" t="str">
        <f t="shared" si="11"/>
        <v>Meets Expectations</v>
      </c>
    </row>
    <row r="84" spans="1:15" x14ac:dyDescent="0.55000000000000004">
      <c r="A84" s="3">
        <v>1238911083</v>
      </c>
      <c r="B84" s="1" t="s">
        <v>14</v>
      </c>
      <c r="C84" s="6">
        <v>24037</v>
      </c>
      <c r="D84" s="6">
        <v>40172</v>
      </c>
      <c r="E84" s="6"/>
      <c r="F84" s="15" t="str">
        <f ca="1">IF(E84="",DATEDIF(D84,TODAY(),"y")&amp; "Years" &amp;DATEDIF(D84,TODAY(),"ym")&amp; "Months"&amp;DATEDIF(D84,TODAY(),"md") &amp;"Days",DATEDIF(D84,E84,"y")&amp; "Years" &amp;DATEDIF(D84,E84,"ym")&amp; "Months"&amp;DATEDIF(D84,E84,"md") &amp;"Days")</f>
        <v>16Years4Months18Days</v>
      </c>
      <c r="G84" s="1" t="s">
        <v>13</v>
      </c>
      <c r="H84" s="2">
        <v>28782</v>
      </c>
      <c r="I84" s="7">
        <v>1</v>
      </c>
      <c r="J84" s="7">
        <v>2</v>
      </c>
      <c r="K84" s="7">
        <v>2</v>
      </c>
      <c r="L84" s="7">
        <v>3</v>
      </c>
      <c r="M84" s="7">
        <v>2</v>
      </c>
      <c r="N84" s="1">
        <f t="shared" si="13"/>
        <v>2</v>
      </c>
      <c r="O84" s="1" t="str">
        <f t="shared" si="11"/>
        <v>Meets Expectations</v>
      </c>
    </row>
    <row r="85" spans="1:15" x14ac:dyDescent="0.55000000000000004">
      <c r="A85" s="3">
        <v>1238911084</v>
      </c>
      <c r="B85" s="1" t="s">
        <v>12</v>
      </c>
      <c r="C85" s="6">
        <v>24044</v>
      </c>
      <c r="D85" s="6">
        <v>38120</v>
      </c>
      <c r="E85" s="6"/>
      <c r="F85" s="6"/>
      <c r="G85" s="1" t="s">
        <v>39</v>
      </c>
      <c r="H85" s="2">
        <v>281250</v>
      </c>
      <c r="I85" s="7">
        <v>3</v>
      </c>
      <c r="J85" s="7">
        <v>2</v>
      </c>
      <c r="K85" s="7">
        <v>2</v>
      </c>
      <c r="L85" s="7">
        <v>3</v>
      </c>
      <c r="M85" s="7">
        <v>3</v>
      </c>
      <c r="N85" s="1">
        <f t="shared" si="13"/>
        <v>3</v>
      </c>
      <c r="O85" s="1" t="str">
        <f t="shared" si="11"/>
        <v>Exceeds Expectations</v>
      </c>
    </row>
    <row r="86" spans="1:15" x14ac:dyDescent="0.55000000000000004">
      <c r="A86" s="3">
        <v>1238911085</v>
      </c>
      <c r="B86" s="1" t="s">
        <v>14</v>
      </c>
      <c r="C86" s="6">
        <v>24045</v>
      </c>
      <c r="D86" s="6">
        <v>35783</v>
      </c>
      <c r="E86" s="6"/>
      <c r="F86" s="15" t="str">
        <f ca="1">IF(E86="",DATEDIF(D86,TODAY(),"y")&amp; "Years" &amp;DATEDIF(D86,TODAY(),"ym")&amp; "Months"&amp;DATEDIF(D86,TODAY(),"md") &amp;"Days",DATEDIF(D86,E86,"y")&amp; "Years" &amp;DATEDIF(D86,E86,"ym")&amp; "Months"&amp;DATEDIF(D86,E86,"md") &amp;"Days")</f>
        <v>28Years4Months24Days</v>
      </c>
      <c r="G86" s="1" t="s">
        <v>13</v>
      </c>
      <c r="H86" s="2">
        <v>26520</v>
      </c>
      <c r="I86" s="7">
        <v>2</v>
      </c>
      <c r="J86" s="7">
        <v>3</v>
      </c>
      <c r="K86" s="7">
        <v>2</v>
      </c>
      <c r="L86" s="7">
        <v>1</v>
      </c>
      <c r="M86" s="7">
        <v>2</v>
      </c>
      <c r="N86" s="1">
        <f t="shared" si="13"/>
        <v>2</v>
      </c>
      <c r="O86" s="1" t="str">
        <f t="shared" si="11"/>
        <v>Meets Expectations</v>
      </c>
    </row>
    <row r="87" spans="1:15" x14ac:dyDescent="0.55000000000000004">
      <c r="A87" s="3">
        <v>1238911086</v>
      </c>
      <c r="B87" s="1" t="s">
        <v>12</v>
      </c>
      <c r="C87" s="6">
        <v>24072</v>
      </c>
      <c r="D87" s="6">
        <v>36353</v>
      </c>
      <c r="E87" s="6"/>
      <c r="F87" s="6"/>
      <c r="G87" s="1" t="s">
        <v>13</v>
      </c>
      <c r="H87" s="2">
        <v>28366</v>
      </c>
      <c r="I87" s="7">
        <v>3</v>
      </c>
      <c r="J87" s="7">
        <v>2</v>
      </c>
      <c r="K87" s="7">
        <v>3</v>
      </c>
      <c r="L87" s="7">
        <v>1</v>
      </c>
      <c r="M87" s="7">
        <v>2</v>
      </c>
      <c r="N87" s="1">
        <f t="shared" si="13"/>
        <v>2</v>
      </c>
      <c r="O87" s="1" t="str">
        <f t="shared" si="11"/>
        <v>Meets Expectations</v>
      </c>
    </row>
    <row r="88" spans="1:15" x14ac:dyDescent="0.55000000000000004">
      <c r="A88" s="3">
        <v>1238911087</v>
      </c>
      <c r="B88" s="1" t="s">
        <v>14</v>
      </c>
      <c r="C88" s="6">
        <v>24086</v>
      </c>
      <c r="D88" s="6">
        <v>40386</v>
      </c>
      <c r="E88" s="6"/>
      <c r="F88" s="15" t="str">
        <f t="shared" ref="F88:F89" ca="1" si="15">IF(E88="",DATEDIF(D88,TODAY(),"y")&amp; "Years" &amp;DATEDIF(D88,TODAY(),"ym")&amp; "Months"&amp;DATEDIF(D88,TODAY(),"md") &amp;"Days",DATEDIF(D88,E88,"y")&amp; "Years" &amp;DATEDIF(D88,E88,"ym")&amp; "Months"&amp;DATEDIF(D88,E88,"md") &amp;"Days")</f>
        <v>15Years9Months16Days</v>
      </c>
      <c r="G88" s="1" t="s">
        <v>13</v>
      </c>
      <c r="H88" s="2">
        <v>28210</v>
      </c>
      <c r="I88" s="7">
        <v>1</v>
      </c>
      <c r="J88" s="7">
        <v>2</v>
      </c>
      <c r="K88" s="7">
        <v>2</v>
      </c>
      <c r="L88" s="7">
        <v>1</v>
      </c>
      <c r="M88" s="7">
        <v>1</v>
      </c>
      <c r="N88" s="1">
        <f t="shared" si="13"/>
        <v>1</v>
      </c>
      <c r="O88" s="1" t="str">
        <f t="shared" si="11"/>
        <v>Below Expectations</v>
      </c>
    </row>
    <row r="89" spans="1:15" x14ac:dyDescent="0.55000000000000004">
      <c r="A89" s="3">
        <v>1238911088</v>
      </c>
      <c r="B89" s="1" t="s">
        <v>14</v>
      </c>
      <c r="C89" s="6">
        <v>24112</v>
      </c>
      <c r="D89" s="6">
        <v>43320</v>
      </c>
      <c r="E89" s="6">
        <v>44125</v>
      </c>
      <c r="F89" s="15" t="str">
        <f t="shared" ca="1" si="15"/>
        <v>2Years2Months13Days</v>
      </c>
      <c r="G89" s="1" t="s">
        <v>25</v>
      </c>
      <c r="H89" s="2">
        <v>27586</v>
      </c>
      <c r="I89" s="7">
        <v>3</v>
      </c>
      <c r="J89" s="7">
        <v>1</v>
      </c>
      <c r="K89" s="7">
        <v>2</v>
      </c>
      <c r="L89" s="7">
        <v>2</v>
      </c>
      <c r="M89" s="7">
        <v>2</v>
      </c>
      <c r="N89" s="1">
        <f t="shared" si="13"/>
        <v>2</v>
      </c>
      <c r="O89" s="1" t="str">
        <f t="shared" si="11"/>
        <v>Meets Expectations</v>
      </c>
    </row>
    <row r="90" spans="1:15" x14ac:dyDescent="0.55000000000000004">
      <c r="A90" s="3">
        <v>1238911089</v>
      </c>
      <c r="B90" s="1" t="s">
        <v>12</v>
      </c>
      <c r="C90" s="6">
        <v>24441</v>
      </c>
      <c r="D90" s="6">
        <v>39338</v>
      </c>
      <c r="E90" s="6"/>
      <c r="F90" s="6"/>
      <c r="G90" s="1" t="s">
        <v>40</v>
      </c>
      <c r="H90" s="2">
        <v>39810</v>
      </c>
      <c r="I90" s="7">
        <v>2</v>
      </c>
      <c r="J90" s="7">
        <v>3</v>
      </c>
      <c r="K90" s="7">
        <v>1</v>
      </c>
      <c r="L90" s="7">
        <v>1</v>
      </c>
      <c r="M90" s="7">
        <v>3</v>
      </c>
      <c r="N90" s="1">
        <f t="shared" si="13"/>
        <v>2</v>
      </c>
      <c r="O90" s="1" t="str">
        <f t="shared" si="11"/>
        <v>Meets Expectations</v>
      </c>
    </row>
    <row r="91" spans="1:15" x14ac:dyDescent="0.55000000000000004">
      <c r="A91" s="3">
        <v>1238911090</v>
      </c>
      <c r="B91" s="1" t="s">
        <v>14</v>
      </c>
      <c r="C91" s="6">
        <v>24134</v>
      </c>
      <c r="D91" s="6">
        <v>40471</v>
      </c>
      <c r="E91" s="6"/>
      <c r="F91" s="15" t="str">
        <f t="shared" ref="F91:F92" ca="1" si="16">IF(E91="",DATEDIF(D91,TODAY(),"y")&amp; "Years" &amp;DATEDIF(D91,TODAY(),"ym")&amp; "Months"&amp;DATEDIF(D91,TODAY(),"md") &amp;"Days",DATEDIF(D91,E91,"y")&amp; "Years" &amp;DATEDIF(D91,E91,"ym")&amp; "Months"&amp;DATEDIF(D91,E91,"md") &amp;"Days")</f>
        <v>15Years6Months23Days</v>
      </c>
      <c r="G91" s="1" t="s">
        <v>13</v>
      </c>
      <c r="H91" s="2">
        <v>27300</v>
      </c>
      <c r="I91" s="7">
        <v>2</v>
      </c>
      <c r="J91" s="7">
        <v>3</v>
      </c>
      <c r="K91" s="7">
        <v>1</v>
      </c>
      <c r="L91" s="7">
        <v>1</v>
      </c>
      <c r="M91" s="7">
        <v>3</v>
      </c>
      <c r="N91" s="1">
        <f t="shared" si="13"/>
        <v>2</v>
      </c>
      <c r="O91" s="1" t="str">
        <f t="shared" si="11"/>
        <v>Meets Expectations</v>
      </c>
    </row>
    <row r="92" spans="1:15" x14ac:dyDescent="0.55000000000000004">
      <c r="A92" s="3">
        <v>1238911091</v>
      </c>
      <c r="B92" s="1" t="s">
        <v>14</v>
      </c>
      <c r="C92" s="6">
        <v>24175</v>
      </c>
      <c r="D92" s="6">
        <v>39788</v>
      </c>
      <c r="E92" s="6">
        <v>42067</v>
      </c>
      <c r="F92" s="15" t="str">
        <f t="shared" ca="1" si="16"/>
        <v>6Years2Months26Days</v>
      </c>
      <c r="G92" s="1" t="s">
        <v>41</v>
      </c>
      <c r="H92" s="2">
        <v>30673.75</v>
      </c>
      <c r="I92" s="7">
        <v>1</v>
      </c>
      <c r="J92" s="7">
        <v>1</v>
      </c>
      <c r="K92" s="7">
        <v>1</v>
      </c>
      <c r="L92" s="7">
        <v>1</v>
      </c>
      <c r="M92" s="7">
        <v>2</v>
      </c>
      <c r="N92" s="1">
        <f t="shared" si="13"/>
        <v>1</v>
      </c>
      <c r="O92" s="1" t="str">
        <f t="shared" si="11"/>
        <v>Below Expectations</v>
      </c>
    </row>
    <row r="93" spans="1:15" x14ac:dyDescent="0.55000000000000004">
      <c r="A93" s="3">
        <v>1238911092</v>
      </c>
      <c r="B93" s="1" t="s">
        <v>12</v>
      </c>
      <c r="C93" s="6">
        <v>24460</v>
      </c>
      <c r="D93" s="6">
        <v>44289</v>
      </c>
      <c r="E93" s="6">
        <v>45467</v>
      </c>
      <c r="F93" s="6"/>
      <c r="G93" s="1" t="s">
        <v>13</v>
      </c>
      <c r="H93" s="2">
        <v>31460</v>
      </c>
      <c r="I93" s="7">
        <v>3</v>
      </c>
      <c r="J93" s="7">
        <v>3</v>
      </c>
      <c r="K93" s="7">
        <v>3</v>
      </c>
      <c r="L93" s="7">
        <v>1</v>
      </c>
      <c r="M93" s="7">
        <v>1</v>
      </c>
      <c r="N93" s="1">
        <f t="shared" si="13"/>
        <v>2</v>
      </c>
      <c r="O93" s="1" t="str">
        <f t="shared" si="11"/>
        <v>Meets Expectations</v>
      </c>
    </row>
    <row r="94" spans="1:15" x14ac:dyDescent="0.55000000000000004">
      <c r="A94" s="3">
        <v>1238911093</v>
      </c>
      <c r="B94" s="1" t="s">
        <v>12</v>
      </c>
      <c r="C94" s="6">
        <v>24186</v>
      </c>
      <c r="D94" s="6">
        <v>37779</v>
      </c>
      <c r="E94" s="6"/>
      <c r="F94" s="6"/>
      <c r="G94" s="1" t="s">
        <v>42</v>
      </c>
      <c r="H94" s="2">
        <v>87884.5</v>
      </c>
      <c r="I94" s="7">
        <v>2</v>
      </c>
      <c r="J94" s="7">
        <v>2</v>
      </c>
      <c r="K94" s="7">
        <v>2</v>
      </c>
      <c r="L94" s="7">
        <v>2</v>
      </c>
      <c r="M94" s="7">
        <v>2</v>
      </c>
      <c r="N94" s="1">
        <f t="shared" si="13"/>
        <v>2</v>
      </c>
      <c r="O94" s="1" t="str">
        <f t="shared" si="11"/>
        <v>Meets Expectations</v>
      </c>
    </row>
    <row r="95" spans="1:15" x14ac:dyDescent="0.55000000000000004">
      <c r="A95" s="3">
        <v>1238911094</v>
      </c>
      <c r="B95" s="1" t="s">
        <v>12</v>
      </c>
      <c r="C95" s="6">
        <v>24196</v>
      </c>
      <c r="D95" s="6">
        <v>38284</v>
      </c>
      <c r="E95" s="6"/>
      <c r="F95" s="6"/>
      <c r="G95" s="1" t="s">
        <v>43</v>
      </c>
      <c r="H95" s="2">
        <v>28392</v>
      </c>
      <c r="I95" s="7">
        <v>3</v>
      </c>
      <c r="J95" s="7">
        <v>1</v>
      </c>
      <c r="K95" s="7">
        <v>3</v>
      </c>
      <c r="L95" s="7">
        <v>3</v>
      </c>
      <c r="M95" s="7">
        <v>1</v>
      </c>
      <c r="N95" s="1">
        <f t="shared" si="13"/>
        <v>2</v>
      </c>
      <c r="O95" s="1" t="str">
        <f t="shared" si="11"/>
        <v>Meets Expectations</v>
      </c>
    </row>
    <row r="96" spans="1:15" x14ac:dyDescent="0.55000000000000004">
      <c r="A96" s="3">
        <v>1238911095</v>
      </c>
      <c r="B96" s="1" t="s">
        <v>12</v>
      </c>
      <c r="C96" s="6">
        <v>34858</v>
      </c>
      <c r="D96" s="6">
        <v>43829</v>
      </c>
      <c r="E96" s="6"/>
      <c r="F96" s="6"/>
      <c r="G96" s="1" t="s">
        <v>43</v>
      </c>
      <c r="H96" s="2">
        <v>28392</v>
      </c>
      <c r="I96" s="7">
        <v>2</v>
      </c>
      <c r="J96" s="7">
        <v>3</v>
      </c>
      <c r="K96" s="7">
        <v>1</v>
      </c>
      <c r="L96" s="7">
        <v>3</v>
      </c>
      <c r="M96" s="7">
        <v>1</v>
      </c>
      <c r="N96" s="1">
        <f t="shared" si="13"/>
        <v>2</v>
      </c>
      <c r="O96" s="1" t="str">
        <f t="shared" si="11"/>
        <v>Meets Expectations</v>
      </c>
    </row>
    <row r="97" spans="1:15" x14ac:dyDescent="0.55000000000000004">
      <c r="A97" s="3">
        <v>1238911096</v>
      </c>
      <c r="B97" s="1" t="s">
        <v>12</v>
      </c>
      <c r="C97" s="6">
        <v>24214</v>
      </c>
      <c r="D97" s="6">
        <v>39668</v>
      </c>
      <c r="E97" s="6"/>
      <c r="F97" s="6"/>
      <c r="G97" s="1" t="s">
        <v>44</v>
      </c>
      <c r="H97" s="2">
        <v>30053.75</v>
      </c>
      <c r="I97" s="7">
        <v>1</v>
      </c>
      <c r="J97" s="7">
        <v>1</v>
      </c>
      <c r="K97" s="7">
        <v>2</v>
      </c>
      <c r="L97" s="7">
        <v>1</v>
      </c>
      <c r="M97" s="7">
        <v>2</v>
      </c>
      <c r="N97" s="1">
        <f t="shared" si="13"/>
        <v>1</v>
      </c>
      <c r="O97" s="1" t="str">
        <f t="shared" si="11"/>
        <v>Below Expectations</v>
      </c>
    </row>
    <row r="98" spans="1:15" x14ac:dyDescent="0.55000000000000004">
      <c r="A98" s="3">
        <v>1238911097</v>
      </c>
      <c r="B98" s="1" t="s">
        <v>14</v>
      </c>
      <c r="C98" s="6">
        <v>24298</v>
      </c>
      <c r="D98" s="6">
        <v>37114</v>
      </c>
      <c r="E98" s="6"/>
      <c r="F98" s="15" t="str">
        <f ca="1">IF(E98="",DATEDIF(D98,TODAY(),"y")&amp; "Years" &amp;DATEDIF(D98,TODAY(),"ym")&amp; "Months"&amp;DATEDIF(D98,TODAY(),"md") &amp;"Days",DATEDIF(D98,E98,"y")&amp; "Years" &amp;DATEDIF(D98,E98,"ym")&amp; "Months"&amp;DATEDIF(D98,E98,"md") &amp;"Days")</f>
        <v>24Years9Months2Days</v>
      </c>
      <c r="G98" s="1" t="s">
        <v>44</v>
      </c>
      <c r="H98" s="2">
        <v>30053.75</v>
      </c>
      <c r="I98" s="7">
        <v>3</v>
      </c>
      <c r="J98" s="7">
        <v>2</v>
      </c>
      <c r="K98" s="7">
        <v>3</v>
      </c>
      <c r="L98" s="7">
        <v>1</v>
      </c>
      <c r="M98" s="7">
        <v>3</v>
      </c>
      <c r="N98" s="1">
        <f t="shared" si="13"/>
        <v>2</v>
      </c>
      <c r="O98" s="1" t="str">
        <f t="shared" si="11"/>
        <v>Meets Expectations</v>
      </c>
    </row>
    <row r="99" spans="1:15" x14ac:dyDescent="0.55000000000000004">
      <c r="A99" s="3">
        <v>1238911098</v>
      </c>
      <c r="B99" s="1" t="s">
        <v>12</v>
      </c>
      <c r="C99" s="6">
        <v>24226</v>
      </c>
      <c r="D99" s="6">
        <v>36498</v>
      </c>
      <c r="E99" s="6"/>
      <c r="F99" s="6"/>
      <c r="G99" s="1" t="s">
        <v>45</v>
      </c>
      <c r="H99" s="2">
        <v>58318</v>
      </c>
      <c r="I99" s="7">
        <v>1</v>
      </c>
      <c r="J99" s="7">
        <v>2</v>
      </c>
      <c r="K99" s="7">
        <v>2</v>
      </c>
      <c r="L99" s="7">
        <v>1</v>
      </c>
      <c r="M99" s="7">
        <v>1</v>
      </c>
      <c r="N99" s="1">
        <f t="shared" si="13"/>
        <v>1</v>
      </c>
      <c r="O99" s="1" t="str">
        <f t="shared" si="11"/>
        <v>Below Expectations</v>
      </c>
    </row>
    <row r="100" spans="1:15" x14ac:dyDescent="0.55000000000000004">
      <c r="A100" s="3">
        <v>1238911099</v>
      </c>
      <c r="B100" s="1" t="s">
        <v>12</v>
      </c>
      <c r="C100" s="6">
        <v>24421</v>
      </c>
      <c r="D100" s="6">
        <v>36400</v>
      </c>
      <c r="E100" s="6"/>
      <c r="F100" s="6"/>
      <c r="G100" s="1" t="s">
        <v>13</v>
      </c>
      <c r="H100" s="2">
        <v>35516</v>
      </c>
      <c r="I100" s="7">
        <v>3</v>
      </c>
      <c r="J100" s="7">
        <v>3</v>
      </c>
      <c r="K100" s="7">
        <v>3</v>
      </c>
      <c r="L100" s="7">
        <v>1</v>
      </c>
      <c r="M100" s="7">
        <v>2</v>
      </c>
      <c r="N100" s="1">
        <f t="shared" si="13"/>
        <v>2</v>
      </c>
      <c r="O100" s="1" t="str">
        <f t="shared" si="11"/>
        <v>Meets Expectations</v>
      </c>
    </row>
    <row r="101" spans="1:15" x14ac:dyDescent="0.55000000000000004">
      <c r="A101" s="3">
        <v>1238911100</v>
      </c>
      <c r="B101" s="1" t="s">
        <v>14</v>
      </c>
      <c r="C101" s="6">
        <v>35199</v>
      </c>
      <c r="D101" s="6">
        <v>44455</v>
      </c>
      <c r="E101" s="6"/>
      <c r="F101" s="15" t="str">
        <f ca="1">IF(E101="",DATEDIF(D101,TODAY(),"y")&amp; "Years" &amp;DATEDIF(D101,TODAY(),"ym")&amp; "Months"&amp;DATEDIF(D101,TODAY(),"md") &amp;"Days",DATEDIF(D101,E101,"y")&amp; "Years" &amp;DATEDIF(D101,E101,"ym")&amp; "Months"&amp;DATEDIF(D101,E101,"md") &amp;"Days")</f>
        <v>4Years7Months27Days</v>
      </c>
      <c r="G101" s="1" t="s">
        <v>13</v>
      </c>
      <c r="H101" s="2">
        <v>29926</v>
      </c>
      <c r="I101" s="7">
        <v>3</v>
      </c>
      <c r="J101" s="7">
        <v>3</v>
      </c>
      <c r="K101" s="7">
        <v>2</v>
      </c>
      <c r="L101" s="7">
        <v>2</v>
      </c>
      <c r="M101" s="7">
        <v>3</v>
      </c>
      <c r="N101" s="1">
        <f t="shared" si="13"/>
        <v>3</v>
      </c>
      <c r="O101" s="1" t="str">
        <f t="shared" si="11"/>
        <v>Exceeds Expectations</v>
      </c>
    </row>
    <row r="102" spans="1:15" x14ac:dyDescent="0.55000000000000004">
      <c r="A102" s="3">
        <v>1238911101</v>
      </c>
      <c r="B102" s="1" t="s">
        <v>14</v>
      </c>
      <c r="C102" s="6">
        <v>24323</v>
      </c>
      <c r="D102" s="6">
        <v>39846</v>
      </c>
      <c r="E102" s="6"/>
      <c r="F102" s="6"/>
      <c r="G102" s="1" t="s">
        <v>46</v>
      </c>
      <c r="H102" s="2">
        <v>66352</v>
      </c>
      <c r="I102" s="7">
        <v>1</v>
      </c>
      <c r="J102" s="7">
        <v>3</v>
      </c>
      <c r="K102" s="7">
        <v>2</v>
      </c>
      <c r="L102" s="7">
        <v>3</v>
      </c>
      <c r="M102" s="7">
        <v>3</v>
      </c>
      <c r="N102" s="1">
        <f t="shared" si="13"/>
        <v>2</v>
      </c>
      <c r="O102" s="1" t="str">
        <f t="shared" si="11"/>
        <v>Meets Expectations</v>
      </c>
    </row>
    <row r="103" spans="1:15" x14ac:dyDescent="0.55000000000000004">
      <c r="A103" s="3">
        <v>1238911102</v>
      </c>
      <c r="B103" s="1" t="s">
        <v>12</v>
      </c>
      <c r="C103" s="6">
        <v>24284</v>
      </c>
      <c r="D103" s="6">
        <v>37904</v>
      </c>
      <c r="E103" s="6"/>
      <c r="F103" s="6"/>
      <c r="G103" s="1" t="s">
        <v>26</v>
      </c>
      <c r="H103" s="2">
        <v>95625.074999999997</v>
      </c>
      <c r="I103" s="7">
        <v>3</v>
      </c>
      <c r="J103" s="7">
        <v>1</v>
      </c>
      <c r="K103" s="7">
        <v>3</v>
      </c>
      <c r="L103" s="7">
        <v>3</v>
      </c>
      <c r="M103" s="7">
        <v>2</v>
      </c>
      <c r="N103" s="1">
        <f t="shared" si="13"/>
        <v>2</v>
      </c>
      <c r="O103" s="1" t="str">
        <f t="shared" si="11"/>
        <v>Meets Expectations</v>
      </c>
    </row>
    <row r="104" spans="1:15" x14ac:dyDescent="0.55000000000000004">
      <c r="A104" s="3">
        <v>1238911103</v>
      </c>
      <c r="B104" s="1" t="s">
        <v>14</v>
      </c>
      <c r="C104" s="6">
        <v>24295</v>
      </c>
      <c r="D104" s="6">
        <v>40019</v>
      </c>
      <c r="E104" s="6"/>
      <c r="F104" s="15" t="str">
        <f t="shared" ref="F104:F105" ca="1" si="17">IF(E104="",DATEDIF(D104,TODAY(),"y")&amp; "Years" &amp;DATEDIF(D104,TODAY(),"ym")&amp; "Months"&amp;DATEDIF(D104,TODAY(),"md") &amp;"Days",DATEDIF(D104,E104,"y")&amp; "Years" &amp;DATEDIF(D104,E104,"ym")&amp; "Months"&amp;DATEDIF(D104,E104,"md") &amp;"Days")</f>
        <v>16Years9Months18Days</v>
      </c>
      <c r="G104" s="1" t="s">
        <v>32</v>
      </c>
      <c r="H104" s="2">
        <v>27300</v>
      </c>
      <c r="I104" s="7">
        <v>3</v>
      </c>
      <c r="J104" s="7">
        <v>3</v>
      </c>
      <c r="K104" s="7">
        <v>2</v>
      </c>
      <c r="L104" s="7">
        <v>1</v>
      </c>
      <c r="M104" s="7">
        <v>2</v>
      </c>
      <c r="N104" s="1">
        <f t="shared" si="13"/>
        <v>2</v>
      </c>
      <c r="O104" s="1" t="str">
        <f t="shared" si="11"/>
        <v>Meets Expectations</v>
      </c>
    </row>
    <row r="105" spans="1:15" x14ac:dyDescent="0.55000000000000004">
      <c r="A105" s="3">
        <v>1238911104</v>
      </c>
      <c r="B105" s="1" t="s">
        <v>14</v>
      </c>
      <c r="C105" s="6">
        <v>32570</v>
      </c>
      <c r="D105" s="6">
        <v>42738</v>
      </c>
      <c r="E105" s="6"/>
      <c r="F105" s="15" t="str">
        <f t="shared" ca="1" si="17"/>
        <v>9Years4Months10Days</v>
      </c>
      <c r="G105" s="1" t="s">
        <v>32</v>
      </c>
      <c r="H105" s="2">
        <v>27300</v>
      </c>
      <c r="I105" s="7">
        <v>3</v>
      </c>
      <c r="J105" s="7">
        <v>1</v>
      </c>
      <c r="K105" s="7">
        <v>1</v>
      </c>
      <c r="L105" s="7">
        <v>3</v>
      </c>
      <c r="M105" s="7">
        <v>2</v>
      </c>
      <c r="N105" s="1">
        <f t="shared" si="13"/>
        <v>2</v>
      </c>
      <c r="O105" s="1" t="str">
        <f t="shared" si="11"/>
        <v>Meets Expectations</v>
      </c>
    </row>
    <row r="106" spans="1:15" x14ac:dyDescent="0.55000000000000004">
      <c r="A106" s="3">
        <v>1238911105</v>
      </c>
      <c r="B106" s="1" t="s">
        <v>12</v>
      </c>
      <c r="C106" s="6">
        <v>24301</v>
      </c>
      <c r="D106" s="6">
        <v>38721</v>
      </c>
      <c r="E106" s="6"/>
      <c r="F106" s="6"/>
      <c r="G106" s="1" t="s">
        <v>47</v>
      </c>
      <c r="H106" s="2">
        <v>38077.5</v>
      </c>
      <c r="I106" s="7">
        <v>3</v>
      </c>
      <c r="J106" s="7">
        <v>3</v>
      </c>
      <c r="K106" s="7">
        <v>1</v>
      </c>
      <c r="L106" s="7">
        <v>3</v>
      </c>
      <c r="M106" s="7">
        <v>1</v>
      </c>
      <c r="N106" s="1">
        <f t="shared" si="13"/>
        <v>2</v>
      </c>
      <c r="O106" s="1" t="str">
        <f t="shared" si="11"/>
        <v>Meets Expectations</v>
      </c>
    </row>
    <row r="107" spans="1:15" x14ac:dyDescent="0.55000000000000004">
      <c r="A107" s="3">
        <v>1238911106</v>
      </c>
      <c r="B107" s="1" t="s">
        <v>12</v>
      </c>
      <c r="C107" s="6">
        <v>23162</v>
      </c>
      <c r="D107" s="6">
        <v>36294</v>
      </c>
      <c r="E107" s="6">
        <v>44797</v>
      </c>
      <c r="F107" s="6"/>
      <c r="G107" s="1" t="s">
        <v>47</v>
      </c>
      <c r="H107" s="2">
        <v>38077.5</v>
      </c>
      <c r="I107" s="7">
        <v>1</v>
      </c>
      <c r="J107" s="7">
        <v>2</v>
      </c>
      <c r="K107" s="7">
        <v>1</v>
      </c>
      <c r="L107" s="7">
        <v>2</v>
      </c>
      <c r="M107" s="7">
        <v>3</v>
      </c>
      <c r="N107" s="1">
        <f t="shared" si="13"/>
        <v>2</v>
      </c>
      <c r="O107" s="1" t="str">
        <f t="shared" si="11"/>
        <v>Meets Expectations</v>
      </c>
    </row>
    <row r="108" spans="1:15" x14ac:dyDescent="0.55000000000000004">
      <c r="A108" s="3">
        <v>1238911107</v>
      </c>
      <c r="B108" s="1" t="s">
        <v>12</v>
      </c>
      <c r="C108" s="6">
        <v>24322</v>
      </c>
      <c r="D108" s="6">
        <v>38009</v>
      </c>
      <c r="E108" s="6"/>
      <c r="F108" s="6"/>
      <c r="G108" s="1" t="s">
        <v>48</v>
      </c>
      <c r="H108" s="2">
        <v>61872.5</v>
      </c>
      <c r="I108" s="7">
        <v>2</v>
      </c>
      <c r="J108" s="7">
        <v>3</v>
      </c>
      <c r="K108" s="7">
        <v>1</v>
      </c>
      <c r="L108" s="7">
        <v>1</v>
      </c>
      <c r="M108" s="7">
        <v>3</v>
      </c>
      <c r="N108" s="1">
        <f t="shared" si="13"/>
        <v>2</v>
      </c>
      <c r="O108" s="1" t="str">
        <f t="shared" si="11"/>
        <v>Meets Expectations</v>
      </c>
    </row>
    <row r="109" spans="1:15" x14ac:dyDescent="0.55000000000000004">
      <c r="A109" s="3">
        <v>1238911108</v>
      </c>
      <c r="B109" s="1" t="s">
        <v>12</v>
      </c>
      <c r="C109" s="6">
        <v>24337</v>
      </c>
      <c r="D109" s="6">
        <v>36535</v>
      </c>
      <c r="E109" s="6"/>
      <c r="F109" s="6"/>
      <c r="G109" s="1" t="s">
        <v>13</v>
      </c>
      <c r="H109" s="2">
        <v>31564</v>
      </c>
      <c r="I109" s="7">
        <v>3</v>
      </c>
      <c r="J109" s="7">
        <v>3</v>
      </c>
      <c r="K109" s="7">
        <v>2</v>
      </c>
      <c r="L109" s="7">
        <v>1</v>
      </c>
      <c r="M109" s="7">
        <v>1</v>
      </c>
      <c r="N109" s="1">
        <f t="shared" si="13"/>
        <v>2</v>
      </c>
      <c r="O109" s="1" t="str">
        <f t="shared" si="11"/>
        <v>Meets Expectations</v>
      </c>
    </row>
    <row r="110" spans="1:15" x14ac:dyDescent="0.55000000000000004">
      <c r="A110" s="3">
        <v>1238911109</v>
      </c>
      <c r="B110" s="1" t="s">
        <v>14</v>
      </c>
      <c r="C110" s="6">
        <v>24420</v>
      </c>
      <c r="D110" s="6">
        <v>37105</v>
      </c>
      <c r="E110" s="6"/>
      <c r="F110" s="15" t="str">
        <f ca="1">IF(E110="",DATEDIF(D110,TODAY(),"y")&amp; "Years" &amp;DATEDIF(D110,TODAY(),"ym")&amp; "Months"&amp;DATEDIF(D110,TODAY(),"md") &amp;"Days",DATEDIF(D110,E110,"y")&amp; "Years" &amp;DATEDIF(D110,E110,"ym")&amp; "Months"&amp;DATEDIF(D110,E110,"md") &amp;"Days")</f>
        <v>24Years9Months11Days</v>
      </c>
      <c r="G110" s="1" t="s">
        <v>13</v>
      </c>
      <c r="H110" s="2">
        <v>30212</v>
      </c>
      <c r="I110" s="7">
        <v>3</v>
      </c>
      <c r="J110" s="7">
        <v>1</v>
      </c>
      <c r="K110" s="7">
        <v>1</v>
      </c>
      <c r="L110" s="7">
        <v>2</v>
      </c>
      <c r="M110" s="7">
        <v>1</v>
      </c>
      <c r="N110" s="1">
        <f t="shared" si="13"/>
        <v>2</v>
      </c>
      <c r="O110" s="1" t="str">
        <f t="shared" si="11"/>
        <v>Meets Expectations</v>
      </c>
    </row>
    <row r="111" spans="1:15" x14ac:dyDescent="0.55000000000000004">
      <c r="A111" s="3">
        <v>1238911110</v>
      </c>
      <c r="B111" s="1" t="s">
        <v>12</v>
      </c>
      <c r="C111" s="6">
        <v>24490</v>
      </c>
      <c r="D111" s="6">
        <v>36423</v>
      </c>
      <c r="E111" s="6"/>
      <c r="F111" s="6"/>
      <c r="G111" s="1" t="s">
        <v>13</v>
      </c>
      <c r="H111" s="2">
        <v>30654</v>
      </c>
      <c r="I111" s="7">
        <v>1</v>
      </c>
      <c r="J111" s="7">
        <v>3</v>
      </c>
      <c r="K111" s="7">
        <v>1</v>
      </c>
      <c r="L111" s="7">
        <v>3</v>
      </c>
      <c r="M111" s="7">
        <v>2</v>
      </c>
      <c r="N111" s="1">
        <f t="shared" si="13"/>
        <v>2</v>
      </c>
      <c r="O111" s="1" t="str">
        <f t="shared" si="11"/>
        <v>Meets Expectations</v>
      </c>
    </row>
    <row r="112" spans="1:15" x14ac:dyDescent="0.55000000000000004">
      <c r="A112" s="3">
        <v>1238911111</v>
      </c>
      <c r="B112" s="1" t="s">
        <v>12</v>
      </c>
      <c r="C112" s="6">
        <v>24511</v>
      </c>
      <c r="D112" s="6">
        <v>37729</v>
      </c>
      <c r="E112" s="6"/>
      <c r="F112" s="6"/>
      <c r="G112" s="1" t="s">
        <v>25</v>
      </c>
      <c r="H112" s="2">
        <v>27664</v>
      </c>
      <c r="I112" s="7">
        <v>2</v>
      </c>
      <c r="J112" s="7">
        <v>1</v>
      </c>
      <c r="K112" s="7">
        <v>3</v>
      </c>
      <c r="L112" s="7">
        <v>2</v>
      </c>
      <c r="M112" s="7">
        <v>3</v>
      </c>
      <c r="N112" s="1">
        <f t="shared" si="13"/>
        <v>2</v>
      </c>
      <c r="O112" s="1" t="str">
        <f t="shared" si="11"/>
        <v>Meets Expectations</v>
      </c>
    </row>
    <row r="113" spans="1:15" x14ac:dyDescent="0.55000000000000004">
      <c r="A113" s="3">
        <v>1238911112</v>
      </c>
      <c r="B113" s="1" t="s">
        <v>12</v>
      </c>
      <c r="C113" s="6">
        <v>24611</v>
      </c>
      <c r="D113" s="6">
        <v>40172</v>
      </c>
      <c r="E113" s="6"/>
      <c r="F113" s="6"/>
      <c r="G113" s="1" t="s">
        <v>49</v>
      </c>
      <c r="H113" s="2">
        <v>31200</v>
      </c>
      <c r="I113" s="7">
        <v>2</v>
      </c>
      <c r="J113" s="7">
        <v>3</v>
      </c>
      <c r="K113" s="7">
        <v>3</v>
      </c>
      <c r="L113" s="7">
        <v>2</v>
      </c>
      <c r="M113" s="7">
        <v>2</v>
      </c>
      <c r="N113" s="1">
        <f t="shared" si="13"/>
        <v>2</v>
      </c>
      <c r="O113" s="1" t="str">
        <f t="shared" si="11"/>
        <v>Meets Expectations</v>
      </c>
    </row>
    <row r="114" spans="1:15" x14ac:dyDescent="0.55000000000000004">
      <c r="A114" s="3">
        <v>1238911113</v>
      </c>
      <c r="B114" s="1" t="s">
        <v>14</v>
      </c>
      <c r="C114" s="6">
        <v>24550</v>
      </c>
      <c r="D114" s="6">
        <v>35783</v>
      </c>
      <c r="E114" s="6"/>
      <c r="F114" s="15" t="str">
        <f t="shared" ref="F114:F115" ca="1" si="18">IF(E114="",DATEDIF(D114,TODAY(),"y")&amp; "Years" &amp;DATEDIF(D114,TODAY(),"ym")&amp; "Months"&amp;DATEDIF(D114,TODAY(),"md") &amp;"Days",DATEDIF(D114,E114,"y")&amp; "Years" &amp;DATEDIF(D114,E114,"ym")&amp; "Months"&amp;DATEDIF(D114,E114,"md") &amp;"Days")</f>
        <v>28Years4Months24Days</v>
      </c>
      <c r="G114" s="1" t="s">
        <v>25</v>
      </c>
      <c r="H114" s="2">
        <v>27768</v>
      </c>
      <c r="I114" s="7">
        <v>1</v>
      </c>
      <c r="J114" s="7">
        <v>2</v>
      </c>
      <c r="K114" s="7">
        <v>1</v>
      </c>
      <c r="L114" s="7">
        <v>1</v>
      </c>
      <c r="M114" s="7">
        <v>1</v>
      </c>
      <c r="N114" s="1">
        <f t="shared" si="13"/>
        <v>1</v>
      </c>
      <c r="O114" s="1" t="str">
        <f t="shared" si="11"/>
        <v>Below Expectations</v>
      </c>
    </row>
    <row r="115" spans="1:15" x14ac:dyDescent="0.55000000000000004">
      <c r="A115" s="3">
        <v>1238911114</v>
      </c>
      <c r="B115" s="1" t="s">
        <v>14</v>
      </c>
      <c r="C115" s="6">
        <v>24628</v>
      </c>
      <c r="D115" s="6">
        <v>36353</v>
      </c>
      <c r="E115" s="6"/>
      <c r="F115" s="15" t="str">
        <f t="shared" ca="1" si="18"/>
        <v>26Years10Months1Days</v>
      </c>
      <c r="G115" s="1" t="s">
        <v>13</v>
      </c>
      <c r="H115" s="2">
        <v>26000</v>
      </c>
      <c r="I115" s="7">
        <v>1</v>
      </c>
      <c r="J115" s="7">
        <v>2</v>
      </c>
      <c r="K115" s="7">
        <v>1</v>
      </c>
      <c r="L115" s="7">
        <v>2</v>
      </c>
      <c r="M115" s="7">
        <v>1</v>
      </c>
      <c r="N115" s="1">
        <f t="shared" si="13"/>
        <v>1</v>
      </c>
      <c r="O115" s="1" t="str">
        <f t="shared" si="11"/>
        <v>Below Expectations</v>
      </c>
    </row>
    <row r="116" spans="1:15" x14ac:dyDescent="0.55000000000000004">
      <c r="A116" s="3">
        <v>1238911115</v>
      </c>
      <c r="B116" s="1" t="s">
        <v>14</v>
      </c>
      <c r="C116" s="6">
        <v>24650</v>
      </c>
      <c r="D116" s="6">
        <v>40386</v>
      </c>
      <c r="E116" s="6"/>
      <c r="F116" s="6"/>
      <c r="G116" s="1" t="s">
        <v>50</v>
      </c>
      <c r="H116" s="2">
        <v>66969.174999999988</v>
      </c>
      <c r="I116" s="7">
        <v>3</v>
      </c>
      <c r="J116" s="7">
        <v>1</v>
      </c>
      <c r="K116" s="7">
        <v>3</v>
      </c>
      <c r="L116" s="7">
        <v>2</v>
      </c>
      <c r="M116" s="7">
        <v>2</v>
      </c>
      <c r="N116" s="1">
        <f t="shared" si="13"/>
        <v>2</v>
      </c>
      <c r="O116" s="1" t="str">
        <f t="shared" si="11"/>
        <v>Meets Expectations</v>
      </c>
    </row>
    <row r="117" spans="1:15" x14ac:dyDescent="0.55000000000000004">
      <c r="A117" s="3">
        <v>1238911116</v>
      </c>
      <c r="B117" s="1" t="s">
        <v>14</v>
      </c>
      <c r="C117" s="6">
        <v>36045</v>
      </c>
      <c r="D117" s="6">
        <v>43780</v>
      </c>
      <c r="E117" s="6"/>
      <c r="F117" s="15" t="str">
        <f ca="1">IF(E117="",DATEDIF(D117,TODAY(),"y")&amp; "Years" &amp;DATEDIF(D117,TODAY(),"ym")&amp; "Months"&amp;DATEDIF(D117,TODAY(),"md") &amp;"Days",DATEDIF(D117,E117,"y")&amp; "Years" &amp;DATEDIF(D117,E117,"ym")&amp; "Months"&amp;DATEDIF(D117,E117,"md") &amp;"Days")</f>
        <v>6Years6Months2Days</v>
      </c>
      <c r="G117" s="1" t="s">
        <v>51</v>
      </c>
      <c r="H117" s="2">
        <v>39431.25</v>
      </c>
      <c r="I117" s="7">
        <v>3</v>
      </c>
      <c r="J117" s="7">
        <v>3</v>
      </c>
      <c r="K117" s="7">
        <v>1</v>
      </c>
      <c r="L117" s="7">
        <v>2</v>
      </c>
      <c r="M117" s="7">
        <v>2</v>
      </c>
      <c r="N117" s="1">
        <f t="shared" si="13"/>
        <v>2</v>
      </c>
      <c r="O117" s="1" t="str">
        <f t="shared" si="11"/>
        <v>Meets Expectations</v>
      </c>
    </row>
    <row r="118" spans="1:15" x14ac:dyDescent="0.55000000000000004">
      <c r="A118" s="3">
        <v>1238911117</v>
      </c>
      <c r="B118" s="1" t="s">
        <v>12</v>
      </c>
      <c r="C118" s="6">
        <v>24671</v>
      </c>
      <c r="D118" s="6">
        <v>37476</v>
      </c>
      <c r="E118" s="6"/>
      <c r="F118" s="6"/>
      <c r="G118" s="1" t="s">
        <v>52</v>
      </c>
      <c r="H118" s="2">
        <v>136630</v>
      </c>
      <c r="I118" s="7">
        <v>3</v>
      </c>
      <c r="J118" s="7">
        <v>2</v>
      </c>
      <c r="K118" s="7">
        <v>2</v>
      </c>
      <c r="L118" s="7">
        <v>3</v>
      </c>
      <c r="M118" s="7">
        <v>3</v>
      </c>
      <c r="N118" s="1">
        <f t="shared" si="13"/>
        <v>3</v>
      </c>
      <c r="O118" s="1" t="str">
        <f t="shared" si="11"/>
        <v>Exceeds Expectations</v>
      </c>
    </row>
    <row r="119" spans="1:15" x14ac:dyDescent="0.55000000000000004">
      <c r="A119" s="3">
        <v>1238911118</v>
      </c>
      <c r="B119" s="1" t="s">
        <v>14</v>
      </c>
      <c r="C119" s="6">
        <v>24739</v>
      </c>
      <c r="D119" s="6">
        <v>39338</v>
      </c>
      <c r="E119" s="6"/>
      <c r="F119" s="6"/>
      <c r="G119" s="1" t="s">
        <v>53</v>
      </c>
      <c r="H119" s="2">
        <v>190526.05</v>
      </c>
      <c r="I119" s="7">
        <v>2</v>
      </c>
      <c r="J119" s="7">
        <v>2</v>
      </c>
      <c r="K119" s="7">
        <v>3</v>
      </c>
      <c r="L119" s="7">
        <v>2</v>
      </c>
      <c r="M119" s="7">
        <v>2</v>
      </c>
      <c r="N119" s="1">
        <f t="shared" si="13"/>
        <v>2</v>
      </c>
      <c r="O119" s="1" t="str">
        <f t="shared" si="11"/>
        <v>Meets Expectations</v>
      </c>
    </row>
    <row r="120" spans="1:15" x14ac:dyDescent="0.55000000000000004">
      <c r="A120" s="3">
        <v>1238911119</v>
      </c>
      <c r="B120" s="1" t="s">
        <v>14</v>
      </c>
      <c r="C120" s="6">
        <v>24704</v>
      </c>
      <c r="D120" s="6">
        <v>40471</v>
      </c>
      <c r="E120" s="6"/>
      <c r="F120" s="15" t="str">
        <f ca="1">IF(E120="",DATEDIF(D120,TODAY(),"y")&amp; "Years" &amp;DATEDIF(D120,TODAY(),"ym")&amp; "Months"&amp;DATEDIF(D120,TODAY(),"md") &amp;"Days",DATEDIF(D120,E120,"y")&amp; "Years" &amp;DATEDIF(D120,E120,"ym")&amp; "Months"&amp;DATEDIF(D120,E120,"md") &amp;"Days")</f>
        <v>15Years6Months23Days</v>
      </c>
      <c r="G120" s="1" t="s">
        <v>13</v>
      </c>
      <c r="H120" s="2">
        <v>27404</v>
      </c>
      <c r="I120" s="7">
        <v>3</v>
      </c>
      <c r="J120" s="7">
        <v>3</v>
      </c>
      <c r="K120" s="7">
        <v>1</v>
      </c>
      <c r="L120" s="7">
        <v>3</v>
      </c>
      <c r="M120" s="7">
        <v>3</v>
      </c>
      <c r="N120" s="1">
        <f t="shared" si="13"/>
        <v>3</v>
      </c>
      <c r="O120" s="1" t="str">
        <f t="shared" si="11"/>
        <v>Exceeds Expectations</v>
      </c>
    </row>
    <row r="121" spans="1:15" x14ac:dyDescent="0.55000000000000004">
      <c r="A121" s="3">
        <v>1238911120</v>
      </c>
      <c r="B121" s="1" t="s">
        <v>12</v>
      </c>
      <c r="C121" s="6">
        <v>24732</v>
      </c>
      <c r="D121" s="6">
        <v>39788</v>
      </c>
      <c r="E121" s="6"/>
      <c r="F121" s="6"/>
      <c r="G121" s="1" t="s">
        <v>13</v>
      </c>
      <c r="H121" s="2">
        <v>29822</v>
      </c>
      <c r="I121" s="7">
        <v>3</v>
      </c>
      <c r="J121" s="7">
        <v>2</v>
      </c>
      <c r="K121" s="7">
        <v>3</v>
      </c>
      <c r="L121" s="7">
        <v>3</v>
      </c>
      <c r="M121" s="7">
        <v>1</v>
      </c>
      <c r="N121" s="1">
        <f t="shared" si="13"/>
        <v>2</v>
      </c>
      <c r="O121" s="1" t="str">
        <f t="shared" si="11"/>
        <v>Meets Expectations</v>
      </c>
    </row>
    <row r="122" spans="1:15" x14ac:dyDescent="0.55000000000000004">
      <c r="A122" s="3">
        <v>1238911121</v>
      </c>
      <c r="B122" s="1" t="s">
        <v>12</v>
      </c>
      <c r="C122" s="6">
        <v>24739</v>
      </c>
      <c r="D122" s="6">
        <v>39906</v>
      </c>
      <c r="E122" s="6">
        <v>44965</v>
      </c>
      <c r="F122" s="6"/>
      <c r="G122" s="1" t="s">
        <v>49</v>
      </c>
      <c r="H122" s="2">
        <v>28862.5</v>
      </c>
      <c r="I122" s="7">
        <v>2</v>
      </c>
      <c r="J122" s="7">
        <v>3</v>
      </c>
      <c r="K122" s="7">
        <v>1</v>
      </c>
      <c r="L122" s="7">
        <v>1</v>
      </c>
      <c r="M122" s="7">
        <v>3</v>
      </c>
      <c r="N122" s="1">
        <f t="shared" si="13"/>
        <v>2</v>
      </c>
      <c r="O122" s="1" t="str">
        <f t="shared" si="11"/>
        <v>Meets Expectations</v>
      </c>
    </row>
    <row r="123" spans="1:15" x14ac:dyDescent="0.55000000000000004">
      <c r="A123" s="3">
        <v>1238911122</v>
      </c>
      <c r="B123" s="1" t="s">
        <v>12</v>
      </c>
      <c r="C123" s="6">
        <v>24778</v>
      </c>
      <c r="D123" s="6">
        <v>37779</v>
      </c>
      <c r="E123" s="6"/>
      <c r="F123" s="6"/>
      <c r="G123" s="1" t="s">
        <v>54</v>
      </c>
      <c r="H123" s="2">
        <v>137500</v>
      </c>
      <c r="I123" s="7">
        <v>3</v>
      </c>
      <c r="J123" s="7">
        <v>3</v>
      </c>
      <c r="K123" s="7">
        <v>2</v>
      </c>
      <c r="L123" s="7">
        <v>3</v>
      </c>
      <c r="M123" s="7">
        <v>2</v>
      </c>
      <c r="N123" s="1">
        <f t="shared" si="13"/>
        <v>3</v>
      </c>
      <c r="O123" s="1" t="str">
        <f t="shared" si="11"/>
        <v>Exceeds Expectations</v>
      </c>
    </row>
    <row r="124" spans="1:15" x14ac:dyDescent="0.55000000000000004">
      <c r="A124" s="3">
        <v>1238911123</v>
      </c>
      <c r="B124" s="1" t="s">
        <v>14</v>
      </c>
      <c r="C124" s="6">
        <v>24884</v>
      </c>
      <c r="D124" s="6">
        <v>38284</v>
      </c>
      <c r="E124" s="6"/>
      <c r="F124" s="15" t="str">
        <f t="shared" ref="F124:F126" ca="1" si="19">IF(E124="",DATEDIF(D124,TODAY(),"y")&amp; "Years" &amp;DATEDIF(D124,TODAY(),"ym")&amp; "Months"&amp;DATEDIF(D124,TODAY(),"md") &amp;"Days",DATEDIF(D124,E124,"y")&amp; "Years" &amp;DATEDIF(D124,E124,"ym")&amp; "Months"&amp;DATEDIF(D124,E124,"md") &amp;"Days")</f>
        <v>21Years6Months19Days</v>
      </c>
      <c r="G124" s="1" t="s">
        <v>44</v>
      </c>
      <c r="H124" s="2">
        <v>34840</v>
      </c>
      <c r="I124" s="7">
        <v>3</v>
      </c>
      <c r="J124" s="7">
        <v>2</v>
      </c>
      <c r="K124" s="7">
        <v>2</v>
      </c>
      <c r="L124" s="7">
        <v>2</v>
      </c>
      <c r="M124" s="7">
        <v>3</v>
      </c>
      <c r="N124" s="1">
        <f t="shared" si="13"/>
        <v>2</v>
      </c>
      <c r="O124" s="1" t="str">
        <f t="shared" si="11"/>
        <v>Meets Expectations</v>
      </c>
    </row>
    <row r="125" spans="1:15" x14ac:dyDescent="0.55000000000000004">
      <c r="A125" s="3">
        <v>1238911124</v>
      </c>
      <c r="B125" s="1" t="s">
        <v>14</v>
      </c>
      <c r="C125" s="6">
        <v>24890</v>
      </c>
      <c r="D125" s="6">
        <v>39081</v>
      </c>
      <c r="E125" s="6"/>
      <c r="F125" s="15" t="str">
        <f t="shared" ca="1" si="19"/>
        <v>19Years4Months13Days</v>
      </c>
      <c r="G125" s="1" t="s">
        <v>25</v>
      </c>
      <c r="H125" s="2">
        <v>27300</v>
      </c>
      <c r="I125" s="7">
        <v>2</v>
      </c>
      <c r="J125" s="7">
        <v>2</v>
      </c>
      <c r="K125" s="7">
        <v>2</v>
      </c>
      <c r="L125" s="7">
        <v>3</v>
      </c>
      <c r="M125" s="7">
        <v>1</v>
      </c>
      <c r="N125" s="1">
        <f t="shared" si="13"/>
        <v>2</v>
      </c>
      <c r="O125" s="1" t="str">
        <f t="shared" si="11"/>
        <v>Meets Expectations</v>
      </c>
    </row>
    <row r="126" spans="1:15" x14ac:dyDescent="0.55000000000000004">
      <c r="A126" s="3">
        <v>1238911125</v>
      </c>
      <c r="B126" s="1" t="s">
        <v>14</v>
      </c>
      <c r="C126" s="6">
        <v>24920</v>
      </c>
      <c r="D126" s="6">
        <v>44782</v>
      </c>
      <c r="E126" s="6">
        <v>45884</v>
      </c>
      <c r="F126" s="15" t="str">
        <f t="shared" ca="1" si="19"/>
        <v>3Years0Months6Days</v>
      </c>
      <c r="G126" s="1" t="s">
        <v>13</v>
      </c>
      <c r="H126" s="2">
        <v>27300</v>
      </c>
      <c r="I126" s="7">
        <v>3</v>
      </c>
      <c r="J126" s="7">
        <v>3</v>
      </c>
      <c r="K126" s="7">
        <v>3</v>
      </c>
      <c r="L126" s="7">
        <v>2</v>
      </c>
      <c r="M126" s="7">
        <v>3</v>
      </c>
      <c r="N126" s="1">
        <f t="shared" si="13"/>
        <v>3</v>
      </c>
      <c r="O126" s="1" t="str">
        <f t="shared" si="11"/>
        <v>Exceeds Expectations</v>
      </c>
    </row>
    <row r="127" spans="1:15" x14ac:dyDescent="0.55000000000000004">
      <c r="A127" s="3">
        <v>1238911126</v>
      </c>
      <c r="B127" s="1" t="s">
        <v>12</v>
      </c>
      <c r="C127" s="6">
        <v>24927</v>
      </c>
      <c r="D127" s="6">
        <v>37114</v>
      </c>
      <c r="E127" s="6"/>
      <c r="F127" s="6"/>
      <c r="G127" s="1" t="s">
        <v>55</v>
      </c>
      <c r="H127" s="2">
        <v>78693.75</v>
      </c>
      <c r="I127" s="7">
        <v>3</v>
      </c>
      <c r="J127" s="7">
        <v>2</v>
      </c>
      <c r="K127" s="7">
        <v>2</v>
      </c>
      <c r="L127" s="7">
        <v>2</v>
      </c>
      <c r="M127" s="7">
        <v>2</v>
      </c>
      <c r="N127" s="1">
        <f t="shared" si="13"/>
        <v>2</v>
      </c>
      <c r="O127" s="1" t="str">
        <f t="shared" si="11"/>
        <v>Meets Expectations</v>
      </c>
    </row>
    <row r="128" spans="1:15" x14ac:dyDescent="0.55000000000000004">
      <c r="A128" s="3">
        <v>1238911127</v>
      </c>
      <c r="B128" s="1" t="s">
        <v>14</v>
      </c>
      <c r="C128" s="6">
        <v>24964</v>
      </c>
      <c r="D128" s="6">
        <v>36498</v>
      </c>
      <c r="E128" s="6"/>
      <c r="F128" s="6"/>
      <c r="G128" s="1" t="s">
        <v>56</v>
      </c>
      <c r="H128" s="2">
        <v>174453.17500000002</v>
      </c>
      <c r="I128" s="7">
        <v>2</v>
      </c>
      <c r="J128" s="7">
        <v>2</v>
      </c>
      <c r="K128" s="7">
        <v>2</v>
      </c>
      <c r="L128" s="7">
        <v>3</v>
      </c>
      <c r="M128" s="7">
        <v>3</v>
      </c>
      <c r="N128" s="1">
        <f t="shared" si="13"/>
        <v>2</v>
      </c>
      <c r="O128" s="1" t="str">
        <f t="shared" si="11"/>
        <v>Meets Expectations</v>
      </c>
    </row>
    <row r="129" spans="1:15" x14ac:dyDescent="0.55000000000000004">
      <c r="A129" s="3">
        <v>1238911128</v>
      </c>
      <c r="B129" s="1" t="s">
        <v>12</v>
      </c>
      <c r="C129" s="6">
        <v>25018</v>
      </c>
      <c r="D129" s="6">
        <v>36400</v>
      </c>
      <c r="E129" s="6"/>
      <c r="F129" s="6"/>
      <c r="G129" s="1" t="s">
        <v>57</v>
      </c>
      <c r="H129" s="2">
        <v>92738.75</v>
      </c>
      <c r="I129" s="7">
        <v>1</v>
      </c>
      <c r="J129" s="7">
        <v>1</v>
      </c>
      <c r="K129" s="7">
        <v>3</v>
      </c>
      <c r="L129" s="7">
        <v>3</v>
      </c>
      <c r="M129" s="7">
        <v>1</v>
      </c>
      <c r="N129" s="1">
        <f t="shared" si="13"/>
        <v>2</v>
      </c>
      <c r="O129" s="1" t="str">
        <f t="shared" si="11"/>
        <v>Meets Expectations</v>
      </c>
    </row>
    <row r="130" spans="1:15" x14ac:dyDescent="0.55000000000000004">
      <c r="A130" s="3">
        <v>1238911129</v>
      </c>
      <c r="B130" s="1" t="s">
        <v>14</v>
      </c>
      <c r="C130" s="6">
        <v>25030</v>
      </c>
      <c r="D130" s="6">
        <v>38976</v>
      </c>
      <c r="E130" s="6">
        <v>44132</v>
      </c>
      <c r="F130" s="15" t="str">
        <f t="shared" ref="F130:F132" ca="1" si="20">IF(E130="",DATEDIF(D130,TODAY(),"y")&amp; "Years" &amp;DATEDIF(D130,TODAY(),"ym")&amp; "Months"&amp;DATEDIF(D130,TODAY(),"md") &amp;"Days",DATEDIF(D130,E130,"y")&amp; "Years" &amp;DATEDIF(D130,E130,"ym")&amp; "Months"&amp;DATEDIF(D130,E130,"md") &amp;"Days")</f>
        <v>14Years1Months12Days</v>
      </c>
      <c r="G130" s="1" t="s">
        <v>58</v>
      </c>
      <c r="H130" s="2">
        <v>34476</v>
      </c>
      <c r="I130" s="7">
        <v>3</v>
      </c>
      <c r="J130" s="7">
        <v>2</v>
      </c>
      <c r="K130" s="7">
        <v>2</v>
      </c>
      <c r="L130" s="7">
        <v>3</v>
      </c>
      <c r="M130" s="7">
        <v>3</v>
      </c>
      <c r="N130" s="1">
        <f t="shared" si="13"/>
        <v>3</v>
      </c>
      <c r="O130" s="1" t="str">
        <f t="shared" si="11"/>
        <v>Exceeds Expectations</v>
      </c>
    </row>
    <row r="131" spans="1:15" x14ac:dyDescent="0.55000000000000004">
      <c r="A131" s="3">
        <v>1238911130</v>
      </c>
      <c r="B131" s="1" t="s">
        <v>14</v>
      </c>
      <c r="C131" s="6">
        <v>25154</v>
      </c>
      <c r="D131" s="6">
        <v>39846</v>
      </c>
      <c r="E131" s="6"/>
      <c r="F131" s="15" t="str">
        <f t="shared" ca="1" si="20"/>
        <v>17Years3Months11Days</v>
      </c>
      <c r="G131" s="1" t="s">
        <v>13</v>
      </c>
      <c r="H131" s="2">
        <v>27612</v>
      </c>
      <c r="I131" s="7">
        <v>2</v>
      </c>
      <c r="J131" s="7">
        <v>3</v>
      </c>
      <c r="K131" s="7">
        <v>3</v>
      </c>
      <c r="L131" s="7">
        <v>3</v>
      </c>
      <c r="M131" s="7">
        <v>3</v>
      </c>
      <c r="N131" s="1">
        <f t="shared" si="13"/>
        <v>3</v>
      </c>
      <c r="O131" s="1" t="str">
        <f t="shared" si="11"/>
        <v>Exceeds Expectations</v>
      </c>
    </row>
    <row r="132" spans="1:15" x14ac:dyDescent="0.55000000000000004">
      <c r="A132" s="3">
        <v>1238911131</v>
      </c>
      <c r="B132" s="1" t="s">
        <v>14</v>
      </c>
      <c r="C132" s="6">
        <v>25189</v>
      </c>
      <c r="D132" s="6">
        <v>37904</v>
      </c>
      <c r="E132" s="6"/>
      <c r="F132" s="15" t="str">
        <f t="shared" ca="1" si="20"/>
        <v>22Years7Months3Days</v>
      </c>
      <c r="G132" s="1" t="s">
        <v>13</v>
      </c>
      <c r="H132" s="2">
        <v>31668</v>
      </c>
      <c r="I132" s="7">
        <v>2</v>
      </c>
      <c r="J132" s="7">
        <v>3</v>
      </c>
      <c r="K132" s="7">
        <v>2</v>
      </c>
      <c r="L132" s="7">
        <v>3</v>
      </c>
      <c r="M132" s="7">
        <v>1</v>
      </c>
      <c r="N132" s="1">
        <f t="shared" si="13"/>
        <v>2</v>
      </c>
      <c r="O132" s="1" t="str">
        <f t="shared" ref="O132:O195" si="21">IF(N132=1,"Below Expectations",IF(N132=2,"Meets Expectations","Exceeds Expectations"))</f>
        <v>Meets Expectations</v>
      </c>
    </row>
    <row r="133" spans="1:15" x14ac:dyDescent="0.55000000000000004">
      <c r="A133" s="3">
        <v>1238911132</v>
      </c>
      <c r="B133" s="1" t="s">
        <v>14</v>
      </c>
      <c r="C133" s="6">
        <v>25265</v>
      </c>
      <c r="D133" s="6">
        <v>40019</v>
      </c>
      <c r="E133" s="6"/>
      <c r="F133" s="6"/>
      <c r="G133" s="1" t="s">
        <v>48</v>
      </c>
      <c r="H133" s="2">
        <v>68271.450000000012</v>
      </c>
      <c r="I133" s="7">
        <v>2</v>
      </c>
      <c r="J133" s="7">
        <v>3</v>
      </c>
      <c r="K133" s="7">
        <v>1</v>
      </c>
      <c r="L133" s="7">
        <v>2</v>
      </c>
      <c r="M133" s="7">
        <v>2</v>
      </c>
      <c r="N133" s="1">
        <f t="shared" si="13"/>
        <v>2</v>
      </c>
      <c r="O133" s="1" t="str">
        <f t="shared" si="21"/>
        <v>Meets Expectations</v>
      </c>
    </row>
    <row r="134" spans="1:15" x14ac:dyDescent="0.55000000000000004">
      <c r="A134" s="3">
        <v>1238911133</v>
      </c>
      <c r="B134" s="1" t="s">
        <v>14</v>
      </c>
      <c r="C134" s="6">
        <v>25288</v>
      </c>
      <c r="D134" s="6">
        <v>38721</v>
      </c>
      <c r="E134" s="6"/>
      <c r="F134" s="15" t="str">
        <f t="shared" ref="F134:F135" ca="1" si="22">IF(E134="",DATEDIF(D134,TODAY(),"y")&amp; "Years" &amp;DATEDIF(D134,TODAY(),"ym")&amp; "Months"&amp;DATEDIF(D134,TODAY(),"md") &amp;"Days",DATEDIF(D134,E134,"y")&amp; "Years" &amp;DATEDIF(D134,E134,"ym")&amp; "Months"&amp;DATEDIF(D134,E134,"md") &amp;"Days")</f>
        <v>20Years4Months9Days</v>
      </c>
      <c r="G134" s="1" t="s">
        <v>44</v>
      </c>
      <c r="H134" s="2">
        <v>31200</v>
      </c>
      <c r="I134" s="7">
        <v>3</v>
      </c>
      <c r="J134" s="7">
        <v>1</v>
      </c>
      <c r="K134" s="7">
        <v>1</v>
      </c>
      <c r="L134" s="7">
        <v>3</v>
      </c>
      <c r="M134" s="7">
        <v>1</v>
      </c>
      <c r="N134" s="1">
        <f t="shared" si="13"/>
        <v>2</v>
      </c>
      <c r="O134" s="1" t="str">
        <f t="shared" si="21"/>
        <v>Meets Expectations</v>
      </c>
    </row>
    <row r="135" spans="1:15" x14ac:dyDescent="0.55000000000000004">
      <c r="A135" s="3">
        <v>1238911134</v>
      </c>
      <c r="B135" s="1" t="s">
        <v>14</v>
      </c>
      <c r="C135" s="6">
        <v>25301</v>
      </c>
      <c r="D135" s="6">
        <v>38009</v>
      </c>
      <c r="E135" s="6"/>
      <c r="F135" s="15" t="str">
        <f t="shared" ca="1" si="22"/>
        <v>22Years3Months20Days</v>
      </c>
      <c r="G135" s="1" t="s">
        <v>13</v>
      </c>
      <c r="H135" s="2">
        <v>27066.25</v>
      </c>
      <c r="I135" s="7">
        <v>2</v>
      </c>
      <c r="J135" s="7">
        <v>1</v>
      </c>
      <c r="K135" s="7">
        <v>2</v>
      </c>
      <c r="L135" s="7">
        <v>2</v>
      </c>
      <c r="M135" s="7">
        <v>2</v>
      </c>
      <c r="N135" s="1">
        <f t="shared" si="13"/>
        <v>2</v>
      </c>
      <c r="O135" s="1" t="str">
        <f t="shared" si="21"/>
        <v>Meets Expectations</v>
      </c>
    </row>
    <row r="136" spans="1:15" x14ac:dyDescent="0.55000000000000004">
      <c r="A136" s="3">
        <v>1238911135</v>
      </c>
      <c r="B136" s="1" t="s">
        <v>12</v>
      </c>
      <c r="C136" s="6">
        <v>25322</v>
      </c>
      <c r="D136" s="6">
        <v>43840</v>
      </c>
      <c r="E136" s="6">
        <v>44888</v>
      </c>
      <c r="F136" s="6"/>
      <c r="G136" s="1" t="s">
        <v>59</v>
      </c>
      <c r="H136" s="2">
        <v>58445</v>
      </c>
      <c r="I136" s="7">
        <v>2</v>
      </c>
      <c r="J136" s="7">
        <v>1</v>
      </c>
      <c r="K136" s="7">
        <v>3</v>
      </c>
      <c r="L136" s="7">
        <v>1</v>
      </c>
      <c r="M136" s="7">
        <v>1</v>
      </c>
      <c r="N136" s="1">
        <f t="shared" ref="N136:N199" si="23">ROUND(AVERAGE(I136:M136),0)</f>
        <v>2</v>
      </c>
      <c r="O136" s="1" t="str">
        <f t="shared" si="21"/>
        <v>Meets Expectations</v>
      </c>
    </row>
    <row r="137" spans="1:15" x14ac:dyDescent="0.55000000000000004">
      <c r="A137" s="3">
        <v>1238911136</v>
      </c>
      <c r="B137" s="1" t="s">
        <v>12</v>
      </c>
      <c r="C137" s="6">
        <v>25487</v>
      </c>
      <c r="D137" s="6">
        <v>37105</v>
      </c>
      <c r="E137" s="6"/>
      <c r="F137" s="6"/>
      <c r="G137" s="1" t="s">
        <v>59</v>
      </c>
      <c r="H137" s="2">
        <v>58445</v>
      </c>
      <c r="I137" s="7">
        <v>2</v>
      </c>
      <c r="J137" s="7">
        <v>3</v>
      </c>
      <c r="K137" s="7">
        <v>1</v>
      </c>
      <c r="L137" s="7">
        <v>3</v>
      </c>
      <c r="M137" s="7">
        <v>3</v>
      </c>
      <c r="N137" s="1">
        <f t="shared" si="23"/>
        <v>2</v>
      </c>
      <c r="O137" s="1" t="str">
        <f t="shared" si="21"/>
        <v>Meets Expectations</v>
      </c>
    </row>
    <row r="138" spans="1:15" x14ac:dyDescent="0.55000000000000004">
      <c r="A138" s="3">
        <v>1238911137</v>
      </c>
      <c r="B138" s="1" t="s">
        <v>12</v>
      </c>
      <c r="C138" s="6">
        <v>25326</v>
      </c>
      <c r="D138" s="6">
        <v>36423</v>
      </c>
      <c r="E138" s="6"/>
      <c r="F138" s="6"/>
      <c r="G138" s="1" t="s">
        <v>13</v>
      </c>
      <c r="H138" s="2">
        <v>31200</v>
      </c>
      <c r="I138" s="7">
        <v>3</v>
      </c>
      <c r="J138" s="7">
        <v>1</v>
      </c>
      <c r="K138" s="7">
        <v>2</v>
      </c>
      <c r="L138" s="7">
        <v>1</v>
      </c>
      <c r="M138" s="7">
        <v>2</v>
      </c>
      <c r="N138" s="1">
        <f t="shared" si="23"/>
        <v>2</v>
      </c>
      <c r="O138" s="1" t="str">
        <f t="shared" si="21"/>
        <v>Meets Expectations</v>
      </c>
    </row>
    <row r="139" spans="1:15" x14ac:dyDescent="0.55000000000000004">
      <c r="A139" s="3">
        <v>1238911138</v>
      </c>
      <c r="B139" s="1" t="s">
        <v>12</v>
      </c>
      <c r="C139" s="6">
        <v>25349</v>
      </c>
      <c r="D139" s="6">
        <v>37729</v>
      </c>
      <c r="E139" s="6"/>
      <c r="F139" s="6"/>
      <c r="G139" s="1" t="s">
        <v>13</v>
      </c>
      <c r="H139" s="2">
        <v>27300</v>
      </c>
      <c r="I139" s="7">
        <v>2</v>
      </c>
      <c r="J139" s="7">
        <v>2</v>
      </c>
      <c r="K139" s="7">
        <v>1</v>
      </c>
      <c r="L139" s="7">
        <v>3</v>
      </c>
      <c r="M139" s="7">
        <v>2</v>
      </c>
      <c r="N139" s="1">
        <f t="shared" si="23"/>
        <v>2</v>
      </c>
      <c r="O139" s="1" t="str">
        <f t="shared" si="21"/>
        <v>Meets Expectations</v>
      </c>
    </row>
    <row r="140" spans="1:15" x14ac:dyDescent="0.55000000000000004">
      <c r="A140" s="3">
        <v>1238911139</v>
      </c>
      <c r="B140" s="1" t="s">
        <v>14</v>
      </c>
      <c r="C140" s="6">
        <v>25362</v>
      </c>
      <c r="D140" s="6">
        <v>40172</v>
      </c>
      <c r="E140" s="6"/>
      <c r="F140" s="15" t="str">
        <f ca="1">IF(E140="",DATEDIF(D140,TODAY(),"y")&amp; "Years" &amp;DATEDIF(D140,TODAY(),"ym")&amp; "Months"&amp;DATEDIF(D140,TODAY(),"md") &amp;"Days",DATEDIF(D140,E140,"y")&amp; "Years" &amp;DATEDIF(D140,E140,"ym")&amp; "Months"&amp;DATEDIF(D140,E140,"md") &amp;"Days")</f>
        <v>16Years4Months18Days</v>
      </c>
      <c r="G140" s="1" t="s">
        <v>13</v>
      </c>
      <c r="H140" s="2">
        <v>27300</v>
      </c>
      <c r="I140" s="7">
        <v>3</v>
      </c>
      <c r="J140" s="7">
        <v>1</v>
      </c>
      <c r="K140" s="7">
        <v>3</v>
      </c>
      <c r="L140" s="7">
        <v>1</v>
      </c>
      <c r="M140" s="7">
        <v>2</v>
      </c>
      <c r="N140" s="1">
        <f t="shared" si="23"/>
        <v>2</v>
      </c>
      <c r="O140" s="1" t="str">
        <f t="shared" si="21"/>
        <v>Meets Expectations</v>
      </c>
    </row>
    <row r="141" spans="1:15" x14ac:dyDescent="0.55000000000000004">
      <c r="A141" s="3">
        <v>1238911140</v>
      </c>
      <c r="B141" s="1" t="s">
        <v>12</v>
      </c>
      <c r="C141" s="6">
        <v>25247</v>
      </c>
      <c r="D141" s="6">
        <v>36294</v>
      </c>
      <c r="E141" s="6"/>
      <c r="F141" s="6"/>
      <c r="G141" s="1" t="s">
        <v>60</v>
      </c>
      <c r="H141" s="2">
        <v>126250.15</v>
      </c>
      <c r="I141" s="7">
        <v>3</v>
      </c>
      <c r="J141" s="7">
        <v>3</v>
      </c>
      <c r="K141" s="7">
        <v>2</v>
      </c>
      <c r="L141" s="7">
        <v>3</v>
      </c>
      <c r="M141" s="7">
        <v>2</v>
      </c>
      <c r="N141" s="1">
        <f t="shared" si="23"/>
        <v>3</v>
      </c>
      <c r="O141" s="1" t="str">
        <f t="shared" si="21"/>
        <v>Exceeds Expectations</v>
      </c>
    </row>
    <row r="142" spans="1:15" x14ac:dyDescent="0.55000000000000004">
      <c r="A142" s="3">
        <v>1238911141</v>
      </c>
      <c r="B142" s="1" t="s">
        <v>12</v>
      </c>
      <c r="C142" s="6">
        <v>25382</v>
      </c>
      <c r="D142" s="6">
        <v>35783</v>
      </c>
      <c r="E142" s="6"/>
      <c r="F142" s="6"/>
      <c r="G142" s="1" t="s">
        <v>45</v>
      </c>
      <c r="H142" s="2">
        <v>55224</v>
      </c>
      <c r="I142" s="7">
        <v>3</v>
      </c>
      <c r="J142" s="7">
        <v>1</v>
      </c>
      <c r="K142" s="7">
        <v>3</v>
      </c>
      <c r="L142" s="7">
        <v>2</v>
      </c>
      <c r="M142" s="7">
        <v>3</v>
      </c>
      <c r="N142" s="1">
        <f t="shared" si="23"/>
        <v>2</v>
      </c>
      <c r="O142" s="1" t="str">
        <f t="shared" si="21"/>
        <v>Meets Expectations</v>
      </c>
    </row>
    <row r="143" spans="1:15" x14ac:dyDescent="0.55000000000000004">
      <c r="A143" s="3">
        <v>1238911142</v>
      </c>
      <c r="B143" s="1" t="s">
        <v>14</v>
      </c>
      <c r="C143" s="6">
        <v>23938</v>
      </c>
      <c r="D143" s="6">
        <v>43659</v>
      </c>
      <c r="E143" s="6">
        <v>44694</v>
      </c>
      <c r="F143" s="15" t="str">
        <f ca="1">IF(E143="",DATEDIF(D143,TODAY(),"y")&amp; "Years" &amp;DATEDIF(D143,TODAY(),"ym")&amp; "Months"&amp;DATEDIF(D143,TODAY(),"md") &amp;"Days",DATEDIF(D143,E143,"y")&amp; "Years" &amp;DATEDIF(D143,E143,"ym")&amp; "Months"&amp;DATEDIF(D143,E143,"md") &amp;"Days")</f>
        <v>2Years10Months0Days</v>
      </c>
      <c r="G143" s="1" t="s">
        <v>13</v>
      </c>
      <c r="H143" s="2">
        <v>30550</v>
      </c>
      <c r="I143" s="7">
        <v>1</v>
      </c>
      <c r="J143" s="7">
        <v>1</v>
      </c>
      <c r="K143" s="7">
        <v>3</v>
      </c>
      <c r="L143" s="7">
        <v>1</v>
      </c>
      <c r="M143" s="7">
        <v>1</v>
      </c>
      <c r="N143" s="1">
        <f t="shared" si="23"/>
        <v>1</v>
      </c>
      <c r="O143" s="1" t="str">
        <f t="shared" si="21"/>
        <v>Below Expectations</v>
      </c>
    </row>
    <row r="144" spans="1:15" x14ac:dyDescent="0.55000000000000004">
      <c r="A144" s="3">
        <v>1238911143</v>
      </c>
      <c r="B144" s="1" t="s">
        <v>12</v>
      </c>
      <c r="C144" s="6">
        <v>25415</v>
      </c>
      <c r="D144" s="6">
        <v>40386</v>
      </c>
      <c r="E144" s="6"/>
      <c r="F144" s="6"/>
      <c r="G144" s="1" t="s">
        <v>13</v>
      </c>
      <c r="H144" s="2">
        <v>27404</v>
      </c>
      <c r="I144" s="7">
        <v>1</v>
      </c>
      <c r="J144" s="7">
        <v>2</v>
      </c>
      <c r="K144" s="7">
        <v>1</v>
      </c>
      <c r="L144" s="7">
        <v>1</v>
      </c>
      <c r="M144" s="7">
        <v>3</v>
      </c>
      <c r="N144" s="1">
        <f t="shared" si="23"/>
        <v>2</v>
      </c>
      <c r="O144" s="1" t="str">
        <f t="shared" si="21"/>
        <v>Meets Expectations</v>
      </c>
    </row>
    <row r="145" spans="1:15" x14ac:dyDescent="0.55000000000000004">
      <c r="A145" s="3">
        <v>1238911144</v>
      </c>
      <c r="B145" s="1" t="s">
        <v>12</v>
      </c>
      <c r="C145" s="6">
        <v>25459</v>
      </c>
      <c r="D145" s="6">
        <v>37476</v>
      </c>
      <c r="E145" s="6"/>
      <c r="F145" s="6"/>
      <c r="G145" s="1" t="s">
        <v>43</v>
      </c>
      <c r="H145" s="2">
        <v>31200</v>
      </c>
      <c r="I145" s="7">
        <v>1</v>
      </c>
      <c r="J145" s="7">
        <v>1</v>
      </c>
      <c r="K145" s="7">
        <v>1</v>
      </c>
      <c r="L145" s="7">
        <v>1</v>
      </c>
      <c r="M145" s="7">
        <v>2</v>
      </c>
      <c r="N145" s="1">
        <f t="shared" si="23"/>
        <v>1</v>
      </c>
      <c r="O145" s="1" t="str">
        <f t="shared" si="21"/>
        <v>Below Expectations</v>
      </c>
    </row>
    <row r="146" spans="1:15" x14ac:dyDescent="0.55000000000000004">
      <c r="A146" s="3">
        <v>1238911145</v>
      </c>
      <c r="B146" s="1" t="s">
        <v>12</v>
      </c>
      <c r="C146" s="6">
        <v>25468</v>
      </c>
      <c r="D146" s="6">
        <v>39338</v>
      </c>
      <c r="E146" s="6"/>
      <c r="F146" s="6"/>
      <c r="G146" s="1" t="s">
        <v>60</v>
      </c>
      <c r="H146" s="2">
        <v>111084.34999999999</v>
      </c>
      <c r="I146" s="7">
        <v>3</v>
      </c>
      <c r="J146" s="7">
        <v>3</v>
      </c>
      <c r="K146" s="7">
        <v>2</v>
      </c>
      <c r="L146" s="7">
        <v>2</v>
      </c>
      <c r="M146" s="7">
        <v>2</v>
      </c>
      <c r="N146" s="1">
        <f t="shared" si="23"/>
        <v>2</v>
      </c>
      <c r="O146" s="1" t="str">
        <f t="shared" si="21"/>
        <v>Meets Expectations</v>
      </c>
    </row>
    <row r="147" spans="1:15" x14ac:dyDescent="0.55000000000000004">
      <c r="A147" s="3">
        <v>1238911146</v>
      </c>
      <c r="B147" s="1" t="s">
        <v>14</v>
      </c>
      <c r="C147" s="6">
        <v>25573</v>
      </c>
      <c r="D147" s="6">
        <v>40471</v>
      </c>
      <c r="E147" s="6"/>
      <c r="F147" s="15" t="str">
        <f t="shared" ref="F147:F151" ca="1" si="24">IF(E147="",DATEDIF(D147,TODAY(),"y")&amp; "Years" &amp;DATEDIF(D147,TODAY(),"ym")&amp; "Months"&amp;DATEDIF(D147,TODAY(),"md") &amp;"Days",DATEDIF(D147,E147,"y")&amp; "Years" &amp;DATEDIF(D147,E147,"ym")&amp; "Months"&amp;DATEDIF(D147,E147,"md") &amp;"Days")</f>
        <v>15Years6Months23Days</v>
      </c>
      <c r="G147" s="1" t="s">
        <v>25</v>
      </c>
      <c r="H147" s="2">
        <v>29198</v>
      </c>
      <c r="I147" s="7">
        <v>3</v>
      </c>
      <c r="J147" s="7">
        <v>2</v>
      </c>
      <c r="K147" s="7">
        <v>1</v>
      </c>
      <c r="L147" s="7">
        <v>2</v>
      </c>
      <c r="M147" s="7">
        <v>1</v>
      </c>
      <c r="N147" s="1">
        <f t="shared" si="23"/>
        <v>2</v>
      </c>
      <c r="O147" s="1" t="str">
        <f t="shared" si="21"/>
        <v>Meets Expectations</v>
      </c>
    </row>
    <row r="148" spans="1:15" x14ac:dyDescent="0.55000000000000004">
      <c r="A148" s="3">
        <v>1238911147</v>
      </c>
      <c r="B148" s="1" t="s">
        <v>14</v>
      </c>
      <c r="C148" s="6">
        <v>25643</v>
      </c>
      <c r="D148" s="6">
        <v>39788</v>
      </c>
      <c r="E148" s="6"/>
      <c r="F148" s="15" t="str">
        <f t="shared" ca="1" si="24"/>
        <v>17Years5Months7Days</v>
      </c>
      <c r="G148" s="1" t="s">
        <v>25</v>
      </c>
      <c r="H148" s="2">
        <v>28080</v>
      </c>
      <c r="I148" s="7">
        <v>3</v>
      </c>
      <c r="J148" s="7">
        <v>3</v>
      </c>
      <c r="K148" s="7">
        <v>2</v>
      </c>
      <c r="L148" s="7">
        <v>3</v>
      </c>
      <c r="M148" s="7">
        <v>2</v>
      </c>
      <c r="N148" s="1">
        <f t="shared" si="23"/>
        <v>3</v>
      </c>
      <c r="O148" s="1" t="str">
        <f t="shared" si="21"/>
        <v>Exceeds Expectations</v>
      </c>
    </row>
    <row r="149" spans="1:15" x14ac:dyDescent="0.55000000000000004">
      <c r="A149" s="3">
        <v>1238911148</v>
      </c>
      <c r="B149" s="1" t="s">
        <v>14</v>
      </c>
      <c r="C149" s="6">
        <v>25646</v>
      </c>
      <c r="D149" s="6">
        <v>39906</v>
      </c>
      <c r="E149" s="6"/>
      <c r="F149" s="15" t="str">
        <f t="shared" ca="1" si="24"/>
        <v>17Years1Months10Days</v>
      </c>
      <c r="G149" s="1" t="s">
        <v>61</v>
      </c>
      <c r="H149" s="2">
        <v>27686.25</v>
      </c>
      <c r="I149" s="7">
        <v>2</v>
      </c>
      <c r="J149" s="7">
        <v>2</v>
      </c>
      <c r="K149" s="7">
        <v>3</v>
      </c>
      <c r="L149" s="7">
        <v>1</v>
      </c>
      <c r="M149" s="7">
        <v>3</v>
      </c>
      <c r="N149" s="1">
        <f t="shared" si="23"/>
        <v>2</v>
      </c>
      <c r="O149" s="1" t="str">
        <f t="shared" si="21"/>
        <v>Meets Expectations</v>
      </c>
    </row>
    <row r="150" spans="1:15" x14ac:dyDescent="0.55000000000000004">
      <c r="A150" s="3">
        <v>1238911149</v>
      </c>
      <c r="B150" s="1" t="s">
        <v>14</v>
      </c>
      <c r="C150" s="6">
        <v>25661</v>
      </c>
      <c r="D150" s="6">
        <v>37779</v>
      </c>
      <c r="E150" s="6"/>
      <c r="F150" s="15" t="str">
        <f t="shared" ca="1" si="24"/>
        <v>22Years11Months6Days</v>
      </c>
      <c r="G150" s="1" t="s">
        <v>44</v>
      </c>
      <c r="H150" s="2">
        <v>30108</v>
      </c>
      <c r="I150" s="7">
        <v>1</v>
      </c>
      <c r="J150" s="7">
        <v>2</v>
      </c>
      <c r="K150" s="7">
        <v>2</v>
      </c>
      <c r="L150" s="7">
        <v>2</v>
      </c>
      <c r="M150" s="7">
        <v>2</v>
      </c>
      <c r="N150" s="1">
        <f t="shared" si="23"/>
        <v>2</v>
      </c>
      <c r="O150" s="1" t="str">
        <f t="shared" si="21"/>
        <v>Meets Expectations</v>
      </c>
    </row>
    <row r="151" spans="1:15" x14ac:dyDescent="0.55000000000000004">
      <c r="A151" s="3">
        <v>1238911150</v>
      </c>
      <c r="B151" s="1" t="s">
        <v>14</v>
      </c>
      <c r="C151" s="6">
        <v>25885</v>
      </c>
      <c r="D151" s="6">
        <v>38284</v>
      </c>
      <c r="E151" s="6"/>
      <c r="F151" s="15" t="str">
        <f t="shared" ca="1" si="24"/>
        <v>21Years6Months19Days</v>
      </c>
      <c r="G151" s="1" t="s">
        <v>44</v>
      </c>
      <c r="H151" s="2">
        <v>30108</v>
      </c>
      <c r="I151" s="7">
        <v>3</v>
      </c>
      <c r="J151" s="7">
        <v>2</v>
      </c>
      <c r="K151" s="7">
        <v>2</v>
      </c>
      <c r="L151" s="7">
        <v>1</v>
      </c>
      <c r="M151" s="7">
        <v>1</v>
      </c>
      <c r="N151" s="1">
        <f t="shared" si="23"/>
        <v>2</v>
      </c>
      <c r="O151" s="1" t="str">
        <f t="shared" si="21"/>
        <v>Meets Expectations</v>
      </c>
    </row>
    <row r="152" spans="1:15" x14ac:dyDescent="0.55000000000000004">
      <c r="A152" s="3">
        <v>1238911151</v>
      </c>
      <c r="B152" s="1" t="s">
        <v>12</v>
      </c>
      <c r="C152" s="6">
        <v>25700</v>
      </c>
      <c r="D152" s="6">
        <v>39081</v>
      </c>
      <c r="E152" s="6"/>
      <c r="F152" s="6"/>
      <c r="G152" s="1" t="s">
        <v>62</v>
      </c>
      <c r="H152" s="2">
        <v>32668.75</v>
      </c>
      <c r="I152" s="7">
        <v>1</v>
      </c>
      <c r="J152" s="7">
        <v>1</v>
      </c>
      <c r="K152" s="7">
        <v>1</v>
      </c>
      <c r="L152" s="7">
        <v>2</v>
      </c>
      <c r="M152" s="7">
        <v>1</v>
      </c>
      <c r="N152" s="1">
        <f t="shared" si="23"/>
        <v>1</v>
      </c>
      <c r="O152" s="1" t="str">
        <f t="shared" si="21"/>
        <v>Below Expectations</v>
      </c>
    </row>
    <row r="153" spans="1:15" x14ac:dyDescent="0.55000000000000004">
      <c r="A153" s="3">
        <v>1238911152</v>
      </c>
      <c r="B153" s="1" t="s">
        <v>14</v>
      </c>
      <c r="C153" s="6">
        <v>25717</v>
      </c>
      <c r="D153" s="6">
        <v>39668</v>
      </c>
      <c r="E153" s="6"/>
      <c r="F153" s="15" t="str">
        <f ca="1">IF(E153="",DATEDIF(D153,TODAY(),"y")&amp; "Years" &amp;DATEDIF(D153,TODAY(),"ym")&amp; "Months"&amp;DATEDIF(D153,TODAY(),"md") &amp;"Days",DATEDIF(D153,E153,"y")&amp; "Years" &amp;DATEDIF(D153,E153,"ym")&amp; "Months"&amp;DATEDIF(D153,E153,"md") &amp;"Days")</f>
        <v>17Years9Months5Days</v>
      </c>
      <c r="G153" s="1" t="s">
        <v>44</v>
      </c>
      <c r="H153" s="2">
        <v>31174</v>
      </c>
      <c r="I153" s="7">
        <v>3</v>
      </c>
      <c r="J153" s="7">
        <v>1</v>
      </c>
      <c r="K153" s="7">
        <v>1</v>
      </c>
      <c r="L153" s="7">
        <v>2</v>
      </c>
      <c r="M153" s="7">
        <v>1</v>
      </c>
      <c r="N153" s="1">
        <f t="shared" si="23"/>
        <v>2</v>
      </c>
      <c r="O153" s="1" t="str">
        <f t="shared" si="21"/>
        <v>Meets Expectations</v>
      </c>
    </row>
    <row r="154" spans="1:15" x14ac:dyDescent="0.55000000000000004">
      <c r="A154" s="3">
        <v>1238911153</v>
      </c>
      <c r="B154" s="1" t="s">
        <v>12</v>
      </c>
      <c r="C154" s="6">
        <v>29034</v>
      </c>
      <c r="D154" s="6">
        <v>45514</v>
      </c>
      <c r="E154" s="6">
        <v>45710</v>
      </c>
      <c r="F154" s="6"/>
      <c r="G154" s="1" t="s">
        <v>63</v>
      </c>
      <c r="H154" s="2">
        <v>95839.25</v>
      </c>
      <c r="I154" s="7">
        <v>3</v>
      </c>
      <c r="J154" s="7">
        <v>3</v>
      </c>
      <c r="K154" s="7">
        <v>3</v>
      </c>
      <c r="L154" s="7">
        <v>2</v>
      </c>
      <c r="M154" s="7">
        <v>3</v>
      </c>
      <c r="N154" s="1">
        <f t="shared" si="23"/>
        <v>3</v>
      </c>
      <c r="O154" s="1" t="str">
        <f t="shared" si="21"/>
        <v>Exceeds Expectations</v>
      </c>
    </row>
    <row r="155" spans="1:15" x14ac:dyDescent="0.55000000000000004">
      <c r="A155" s="3">
        <v>1238911154</v>
      </c>
      <c r="B155" s="1" t="s">
        <v>14</v>
      </c>
      <c r="C155" s="6">
        <v>25772</v>
      </c>
      <c r="D155" s="6">
        <v>38324</v>
      </c>
      <c r="E155" s="6"/>
      <c r="F155" s="6"/>
      <c r="G155" s="1" t="s">
        <v>64</v>
      </c>
      <c r="H155" s="2">
        <v>225205.17500000002</v>
      </c>
      <c r="I155" s="7">
        <v>2</v>
      </c>
      <c r="J155" s="7">
        <v>2</v>
      </c>
      <c r="K155" s="7">
        <v>2</v>
      </c>
      <c r="L155" s="7">
        <v>2</v>
      </c>
      <c r="M155" s="7">
        <v>3</v>
      </c>
      <c r="N155" s="1">
        <f t="shared" si="23"/>
        <v>2</v>
      </c>
      <c r="O155" s="1" t="str">
        <f t="shared" si="21"/>
        <v>Meets Expectations</v>
      </c>
    </row>
    <row r="156" spans="1:15" x14ac:dyDescent="0.55000000000000004">
      <c r="A156" s="3">
        <v>1238911155</v>
      </c>
      <c r="B156" s="1" t="s">
        <v>14</v>
      </c>
      <c r="C156" s="6">
        <v>25800</v>
      </c>
      <c r="D156" s="6">
        <v>36400</v>
      </c>
      <c r="E156" s="6"/>
      <c r="F156" s="15" t="str">
        <f ca="1">IF(E156="",DATEDIF(D156,TODAY(),"y")&amp; "Years" &amp;DATEDIF(D156,TODAY(),"ym")&amp; "Months"&amp;DATEDIF(D156,TODAY(),"md") &amp;"Days",DATEDIF(D156,E156,"y")&amp; "Years" &amp;DATEDIF(D156,E156,"ym")&amp; "Months"&amp;DATEDIF(D156,E156,"md") &amp;"Days")</f>
        <v>26Years8Months15Days</v>
      </c>
      <c r="G156" s="1" t="s">
        <v>65</v>
      </c>
      <c r="H156" s="2">
        <v>36400</v>
      </c>
      <c r="I156" s="7">
        <v>2</v>
      </c>
      <c r="J156" s="7">
        <v>3</v>
      </c>
      <c r="K156" s="7">
        <v>2</v>
      </c>
      <c r="L156" s="7">
        <v>3</v>
      </c>
      <c r="M156" s="7">
        <v>2</v>
      </c>
      <c r="N156" s="1">
        <f t="shared" si="23"/>
        <v>2</v>
      </c>
      <c r="O156" s="1" t="str">
        <f t="shared" si="21"/>
        <v>Meets Expectations</v>
      </c>
    </row>
    <row r="157" spans="1:15" x14ac:dyDescent="0.55000000000000004">
      <c r="A157" s="3">
        <v>1238911156</v>
      </c>
      <c r="B157" s="1" t="s">
        <v>12</v>
      </c>
      <c r="C157" s="6">
        <v>25811</v>
      </c>
      <c r="D157" s="6">
        <v>38976</v>
      </c>
      <c r="E157" s="6"/>
      <c r="F157" s="6"/>
      <c r="G157" s="1" t="s">
        <v>13</v>
      </c>
      <c r="H157" s="2">
        <v>27300</v>
      </c>
      <c r="I157" s="7">
        <v>2</v>
      </c>
      <c r="J157" s="7">
        <v>1</v>
      </c>
      <c r="K157" s="7">
        <v>2</v>
      </c>
      <c r="L157" s="7">
        <v>3</v>
      </c>
      <c r="M157" s="7">
        <v>1</v>
      </c>
      <c r="N157" s="1">
        <f t="shared" si="23"/>
        <v>2</v>
      </c>
      <c r="O157" s="1" t="str">
        <f t="shared" si="21"/>
        <v>Meets Expectations</v>
      </c>
    </row>
    <row r="158" spans="1:15" x14ac:dyDescent="0.55000000000000004">
      <c r="A158" s="3">
        <v>1238911157</v>
      </c>
      <c r="B158" s="1" t="s">
        <v>14</v>
      </c>
      <c r="C158" s="6">
        <v>25778</v>
      </c>
      <c r="D158" s="6">
        <v>39846</v>
      </c>
      <c r="E158" s="6"/>
      <c r="F158" s="15" t="str">
        <f ca="1">IF(E158="",DATEDIF(D158,TODAY(),"y")&amp; "Years" &amp;DATEDIF(D158,TODAY(),"ym")&amp; "Months"&amp;DATEDIF(D158,TODAY(),"md") &amp;"Days",DATEDIF(D158,E158,"y")&amp; "Years" &amp;DATEDIF(D158,E158,"ym")&amp; "Months"&amp;DATEDIF(D158,E158,"md") &amp;"Days")</f>
        <v>17Years3Months11Days</v>
      </c>
      <c r="G158" s="1" t="s">
        <v>13</v>
      </c>
      <c r="H158" s="2">
        <v>27872</v>
      </c>
      <c r="I158" s="7">
        <v>3</v>
      </c>
      <c r="J158" s="7">
        <v>1</v>
      </c>
      <c r="K158" s="7">
        <v>2</v>
      </c>
      <c r="L158" s="7">
        <v>3</v>
      </c>
      <c r="M158" s="7">
        <v>1</v>
      </c>
      <c r="N158" s="1">
        <f t="shared" si="23"/>
        <v>2</v>
      </c>
      <c r="O158" s="1" t="str">
        <f t="shared" si="21"/>
        <v>Meets Expectations</v>
      </c>
    </row>
    <row r="159" spans="1:15" x14ac:dyDescent="0.55000000000000004">
      <c r="A159" s="3">
        <v>1238911158</v>
      </c>
      <c r="B159" s="1" t="s">
        <v>12</v>
      </c>
      <c r="C159" s="6">
        <v>25839</v>
      </c>
      <c r="D159" s="6">
        <v>37904</v>
      </c>
      <c r="E159" s="6"/>
      <c r="F159" s="6"/>
      <c r="G159" s="1" t="s">
        <v>66</v>
      </c>
      <c r="H159" s="2">
        <v>117412.425</v>
      </c>
      <c r="I159" s="7">
        <v>2</v>
      </c>
      <c r="J159" s="7">
        <v>2</v>
      </c>
      <c r="K159" s="7">
        <v>2</v>
      </c>
      <c r="L159" s="7">
        <v>3</v>
      </c>
      <c r="M159" s="7">
        <v>2</v>
      </c>
      <c r="N159" s="1">
        <f t="shared" si="23"/>
        <v>2</v>
      </c>
      <c r="O159" s="1" t="str">
        <f t="shared" si="21"/>
        <v>Meets Expectations</v>
      </c>
    </row>
    <row r="160" spans="1:15" x14ac:dyDescent="0.55000000000000004">
      <c r="A160" s="3">
        <v>1238911159</v>
      </c>
      <c r="B160" s="1" t="s">
        <v>12</v>
      </c>
      <c r="C160" s="6">
        <v>25875</v>
      </c>
      <c r="D160" s="6">
        <v>40019</v>
      </c>
      <c r="E160" s="6"/>
      <c r="F160" s="6"/>
      <c r="G160" s="1" t="s">
        <v>13</v>
      </c>
      <c r="H160" s="2">
        <v>31200</v>
      </c>
      <c r="I160" s="7">
        <v>3</v>
      </c>
      <c r="J160" s="7">
        <v>3</v>
      </c>
      <c r="K160" s="7">
        <v>3</v>
      </c>
      <c r="L160" s="7">
        <v>2</v>
      </c>
      <c r="M160" s="7">
        <v>1</v>
      </c>
      <c r="N160" s="1">
        <f t="shared" si="23"/>
        <v>2</v>
      </c>
      <c r="O160" s="1" t="str">
        <f t="shared" si="21"/>
        <v>Meets Expectations</v>
      </c>
    </row>
    <row r="161" spans="1:15" x14ac:dyDescent="0.55000000000000004">
      <c r="A161" s="3">
        <v>1238911160</v>
      </c>
      <c r="B161" s="1" t="s">
        <v>12</v>
      </c>
      <c r="C161" s="6">
        <v>25915</v>
      </c>
      <c r="D161" s="6">
        <v>41643</v>
      </c>
      <c r="E161" s="6">
        <v>44431</v>
      </c>
      <c r="F161" s="6"/>
      <c r="G161" s="1" t="s">
        <v>67</v>
      </c>
      <c r="H161" s="2">
        <v>93253.75</v>
      </c>
      <c r="I161" s="7">
        <v>2</v>
      </c>
      <c r="J161" s="7">
        <v>1</v>
      </c>
      <c r="K161" s="7">
        <v>2</v>
      </c>
      <c r="L161" s="7">
        <v>3</v>
      </c>
      <c r="M161" s="7">
        <v>2</v>
      </c>
      <c r="N161" s="1">
        <f t="shared" si="23"/>
        <v>2</v>
      </c>
      <c r="O161" s="1" t="str">
        <f t="shared" si="21"/>
        <v>Meets Expectations</v>
      </c>
    </row>
    <row r="162" spans="1:15" x14ac:dyDescent="0.55000000000000004">
      <c r="A162" s="3">
        <v>1238911161</v>
      </c>
      <c r="B162" s="1" t="s">
        <v>14</v>
      </c>
      <c r="C162" s="6">
        <v>25598</v>
      </c>
      <c r="D162" s="6">
        <v>38009</v>
      </c>
      <c r="E162" s="6"/>
      <c r="F162" s="15" t="str">
        <f t="shared" ref="F162:F163" ca="1" si="25">IF(E162="",DATEDIF(D162,TODAY(),"y")&amp; "Years" &amp;DATEDIF(D162,TODAY(),"ym")&amp; "Months"&amp;DATEDIF(D162,TODAY(),"md") &amp;"Days",DATEDIF(D162,E162,"y")&amp; "Years" &amp;DATEDIF(D162,E162,"ym")&amp; "Months"&amp;DATEDIF(D162,E162,"md") &amp;"Days")</f>
        <v>22Years3Months20Days</v>
      </c>
      <c r="G162" s="1" t="s">
        <v>25</v>
      </c>
      <c r="H162" s="2">
        <v>29996.25</v>
      </c>
      <c r="I162" s="7">
        <v>2</v>
      </c>
      <c r="J162" s="7">
        <v>2</v>
      </c>
      <c r="K162" s="7">
        <v>3</v>
      </c>
      <c r="L162" s="7">
        <v>2</v>
      </c>
      <c r="M162" s="7">
        <v>3</v>
      </c>
      <c r="N162" s="1">
        <f t="shared" si="23"/>
        <v>2</v>
      </c>
      <c r="O162" s="1" t="str">
        <f t="shared" si="21"/>
        <v>Meets Expectations</v>
      </c>
    </row>
    <row r="163" spans="1:15" x14ac:dyDescent="0.55000000000000004">
      <c r="A163" s="3">
        <v>1238911162</v>
      </c>
      <c r="B163" s="1" t="s">
        <v>14</v>
      </c>
      <c r="C163" s="6">
        <v>25918</v>
      </c>
      <c r="D163" s="6">
        <v>36535</v>
      </c>
      <c r="E163" s="6"/>
      <c r="F163" s="15" t="str">
        <f t="shared" ca="1" si="25"/>
        <v>26Years4Months3Days</v>
      </c>
      <c r="G163" s="1" t="s">
        <v>25</v>
      </c>
      <c r="H163" s="2">
        <v>29996.25</v>
      </c>
      <c r="I163" s="7">
        <v>2</v>
      </c>
      <c r="J163" s="7">
        <v>3</v>
      </c>
      <c r="K163" s="7">
        <v>2</v>
      </c>
      <c r="L163" s="7">
        <v>1</v>
      </c>
      <c r="M163" s="7">
        <v>1</v>
      </c>
      <c r="N163" s="1">
        <f t="shared" si="23"/>
        <v>2</v>
      </c>
      <c r="O163" s="1" t="str">
        <f t="shared" si="21"/>
        <v>Meets Expectations</v>
      </c>
    </row>
    <row r="164" spans="1:15" x14ac:dyDescent="0.55000000000000004">
      <c r="A164" s="3">
        <v>1238911163</v>
      </c>
      <c r="B164" s="1" t="s">
        <v>12</v>
      </c>
      <c r="C164" s="6">
        <v>26031</v>
      </c>
      <c r="D164" s="6">
        <v>37105</v>
      </c>
      <c r="E164" s="6"/>
      <c r="F164" s="6"/>
      <c r="G164" s="1" t="s">
        <v>68</v>
      </c>
      <c r="H164" s="2">
        <v>62500</v>
      </c>
      <c r="I164" s="7">
        <v>1</v>
      </c>
      <c r="J164" s="7">
        <v>2</v>
      </c>
      <c r="K164" s="7">
        <v>3</v>
      </c>
      <c r="L164" s="7">
        <v>3</v>
      </c>
      <c r="M164" s="7">
        <v>1</v>
      </c>
      <c r="N164" s="1">
        <f t="shared" si="23"/>
        <v>2</v>
      </c>
      <c r="O164" s="1" t="str">
        <f t="shared" si="21"/>
        <v>Meets Expectations</v>
      </c>
    </row>
    <row r="165" spans="1:15" x14ac:dyDescent="0.55000000000000004">
      <c r="A165" s="3">
        <v>1238911164</v>
      </c>
      <c r="B165" s="1" t="s">
        <v>12</v>
      </c>
      <c r="C165" s="6">
        <v>26063</v>
      </c>
      <c r="D165" s="6">
        <v>36423</v>
      </c>
      <c r="E165" s="6"/>
      <c r="F165" s="6"/>
      <c r="G165" s="1" t="s">
        <v>69</v>
      </c>
      <c r="H165" s="2">
        <v>167968.77499999999</v>
      </c>
      <c r="I165" s="7">
        <v>2</v>
      </c>
      <c r="J165" s="7">
        <v>2</v>
      </c>
      <c r="K165" s="7">
        <v>3</v>
      </c>
      <c r="L165" s="7">
        <v>3</v>
      </c>
      <c r="M165" s="7">
        <v>2</v>
      </c>
      <c r="N165" s="1">
        <f t="shared" si="23"/>
        <v>2</v>
      </c>
      <c r="O165" s="1" t="str">
        <f t="shared" si="21"/>
        <v>Meets Expectations</v>
      </c>
    </row>
    <row r="166" spans="1:15" x14ac:dyDescent="0.55000000000000004">
      <c r="A166" s="3">
        <v>1238911165</v>
      </c>
      <c r="B166" s="1" t="s">
        <v>12</v>
      </c>
      <c r="C166" s="6">
        <v>26131</v>
      </c>
      <c r="D166" s="6">
        <v>37729</v>
      </c>
      <c r="E166" s="6"/>
      <c r="F166" s="6"/>
      <c r="G166" s="1" t="s">
        <v>19</v>
      </c>
      <c r="H166" s="2">
        <v>63787.75</v>
      </c>
      <c r="I166" s="7">
        <v>2</v>
      </c>
      <c r="J166" s="7">
        <v>1</v>
      </c>
      <c r="K166" s="7">
        <v>2</v>
      </c>
      <c r="L166" s="7">
        <v>2</v>
      </c>
      <c r="M166" s="7">
        <v>2</v>
      </c>
      <c r="N166" s="1">
        <f t="shared" si="23"/>
        <v>2</v>
      </c>
      <c r="O166" s="1" t="str">
        <f t="shared" si="21"/>
        <v>Meets Expectations</v>
      </c>
    </row>
    <row r="167" spans="1:15" x14ac:dyDescent="0.55000000000000004">
      <c r="A167" s="3">
        <v>1238911166</v>
      </c>
      <c r="B167" s="1" t="s">
        <v>12</v>
      </c>
      <c r="C167" s="6">
        <v>26144</v>
      </c>
      <c r="D167" s="6">
        <v>40172</v>
      </c>
      <c r="E167" s="6"/>
      <c r="F167" s="6"/>
      <c r="G167" s="1" t="s">
        <v>19</v>
      </c>
      <c r="H167" s="2">
        <v>63787.75</v>
      </c>
      <c r="I167" s="7">
        <v>3</v>
      </c>
      <c r="J167" s="7">
        <v>1</v>
      </c>
      <c r="K167" s="7">
        <v>3</v>
      </c>
      <c r="L167" s="7">
        <v>2</v>
      </c>
      <c r="M167" s="7">
        <v>3</v>
      </c>
      <c r="N167" s="1">
        <f t="shared" si="23"/>
        <v>2</v>
      </c>
      <c r="O167" s="1" t="str">
        <f t="shared" si="21"/>
        <v>Meets Expectations</v>
      </c>
    </row>
    <row r="168" spans="1:15" x14ac:dyDescent="0.55000000000000004">
      <c r="A168" s="3">
        <v>1238911167</v>
      </c>
      <c r="B168" s="1" t="s">
        <v>14</v>
      </c>
      <c r="C168" s="6">
        <v>26155</v>
      </c>
      <c r="D168" s="6">
        <v>36294</v>
      </c>
      <c r="E168" s="6"/>
      <c r="F168" s="15" t="str">
        <f ca="1">IF(E168="",DATEDIF(D168,TODAY(),"y")&amp; "Years" &amp;DATEDIF(D168,TODAY(),"ym")&amp; "Months"&amp;DATEDIF(D168,TODAY(),"md") &amp;"Days",DATEDIF(D168,E168,"y")&amp; "Years" &amp;DATEDIF(D168,E168,"ym")&amp; "Months"&amp;DATEDIF(D168,E168,"md") &amp;"Days")</f>
        <v>26Years11Months29Days</v>
      </c>
      <c r="G168" s="1" t="s">
        <v>13</v>
      </c>
      <c r="H168" s="2">
        <v>27300</v>
      </c>
      <c r="I168" s="7">
        <v>1</v>
      </c>
      <c r="J168" s="7">
        <v>2</v>
      </c>
      <c r="K168" s="7">
        <v>3</v>
      </c>
      <c r="L168" s="7">
        <v>1</v>
      </c>
      <c r="M168" s="7">
        <v>1</v>
      </c>
      <c r="N168" s="1">
        <f t="shared" si="23"/>
        <v>2</v>
      </c>
      <c r="O168" s="1" t="str">
        <f t="shared" si="21"/>
        <v>Meets Expectations</v>
      </c>
    </row>
    <row r="169" spans="1:15" x14ac:dyDescent="0.55000000000000004">
      <c r="A169" s="3">
        <v>1238911168</v>
      </c>
      <c r="B169" s="1" t="s">
        <v>12</v>
      </c>
      <c r="C169" s="6">
        <v>26363</v>
      </c>
      <c r="D169" s="6">
        <v>35783</v>
      </c>
      <c r="E169" s="6"/>
      <c r="F169" s="6"/>
      <c r="G169" s="1" t="s">
        <v>23</v>
      </c>
      <c r="H169" s="2">
        <v>68750</v>
      </c>
      <c r="I169" s="7">
        <v>2</v>
      </c>
      <c r="J169" s="7">
        <v>1</v>
      </c>
      <c r="K169" s="7">
        <v>1</v>
      </c>
      <c r="L169" s="7">
        <v>1</v>
      </c>
      <c r="M169" s="7">
        <v>3</v>
      </c>
      <c r="N169" s="1">
        <f t="shared" si="23"/>
        <v>2</v>
      </c>
      <c r="O169" s="1" t="str">
        <f t="shared" si="21"/>
        <v>Meets Expectations</v>
      </c>
    </row>
    <row r="170" spans="1:15" x14ac:dyDescent="0.55000000000000004">
      <c r="A170" s="3">
        <v>1238911169</v>
      </c>
      <c r="B170" s="1" t="s">
        <v>14</v>
      </c>
      <c r="C170" s="6">
        <v>26376</v>
      </c>
      <c r="D170" s="6">
        <v>36353</v>
      </c>
      <c r="E170" s="6"/>
      <c r="F170" s="15" t="str">
        <f ca="1">IF(E170="",DATEDIF(D170,TODAY(),"y")&amp; "Years" &amp;DATEDIF(D170,TODAY(),"ym")&amp; "Months"&amp;DATEDIF(D170,TODAY(),"md") &amp;"Days",DATEDIF(D170,E170,"y")&amp; "Years" &amp;DATEDIF(D170,E170,"ym")&amp; "Months"&amp;DATEDIF(D170,E170,"md") &amp;"Days")</f>
        <v>26Years10Months1Days</v>
      </c>
      <c r="G170" s="1" t="s">
        <v>25</v>
      </c>
      <c r="H170" s="2">
        <v>27300</v>
      </c>
      <c r="I170" s="7">
        <v>1</v>
      </c>
      <c r="J170" s="7">
        <v>2</v>
      </c>
      <c r="K170" s="7">
        <v>3</v>
      </c>
      <c r="L170" s="7">
        <v>2</v>
      </c>
      <c r="M170" s="7">
        <v>3</v>
      </c>
      <c r="N170" s="1">
        <f t="shared" si="23"/>
        <v>2</v>
      </c>
      <c r="O170" s="1" t="str">
        <f t="shared" si="21"/>
        <v>Meets Expectations</v>
      </c>
    </row>
    <row r="171" spans="1:15" x14ac:dyDescent="0.55000000000000004">
      <c r="A171" s="3">
        <v>1238911170</v>
      </c>
      <c r="B171" s="1" t="s">
        <v>12</v>
      </c>
      <c r="C171" s="6">
        <v>26383</v>
      </c>
      <c r="D171" s="6">
        <v>40386</v>
      </c>
      <c r="E171" s="6"/>
      <c r="F171" s="6"/>
      <c r="G171" s="1" t="s">
        <v>70</v>
      </c>
      <c r="H171" s="2">
        <v>111101.25</v>
      </c>
      <c r="I171" s="7">
        <v>3</v>
      </c>
      <c r="J171" s="7">
        <v>2</v>
      </c>
      <c r="K171" s="7">
        <v>3</v>
      </c>
      <c r="L171" s="7">
        <v>3</v>
      </c>
      <c r="M171" s="7">
        <v>2</v>
      </c>
      <c r="N171" s="1">
        <f t="shared" si="23"/>
        <v>3</v>
      </c>
      <c r="O171" s="1" t="str">
        <f t="shared" si="21"/>
        <v>Exceeds Expectations</v>
      </c>
    </row>
    <row r="172" spans="1:15" x14ac:dyDescent="0.55000000000000004">
      <c r="A172" s="3">
        <v>1238911171</v>
      </c>
      <c r="B172" s="1" t="s">
        <v>12</v>
      </c>
      <c r="C172" s="6">
        <v>26424</v>
      </c>
      <c r="D172" s="6">
        <v>37476</v>
      </c>
      <c r="E172" s="6"/>
      <c r="F172" s="6"/>
      <c r="G172" s="1" t="s">
        <v>71</v>
      </c>
      <c r="H172" s="2">
        <v>113705.7</v>
      </c>
      <c r="I172" s="7">
        <v>3</v>
      </c>
      <c r="J172" s="7">
        <v>2</v>
      </c>
      <c r="K172" s="7">
        <v>2</v>
      </c>
      <c r="L172" s="7">
        <v>2</v>
      </c>
      <c r="M172" s="7">
        <v>3</v>
      </c>
      <c r="N172" s="1">
        <f t="shared" si="23"/>
        <v>2</v>
      </c>
      <c r="O172" s="1" t="str">
        <f t="shared" si="21"/>
        <v>Meets Expectations</v>
      </c>
    </row>
    <row r="173" spans="1:15" x14ac:dyDescent="0.55000000000000004">
      <c r="A173" s="3">
        <v>1238911172</v>
      </c>
      <c r="B173" s="1" t="s">
        <v>12</v>
      </c>
      <c r="C173" s="6">
        <v>26450</v>
      </c>
      <c r="D173" s="6">
        <v>39338</v>
      </c>
      <c r="E173" s="6"/>
      <c r="F173" s="6"/>
      <c r="G173" s="1" t="s">
        <v>72</v>
      </c>
      <c r="H173" s="2">
        <v>71150.625</v>
      </c>
      <c r="I173" s="7">
        <v>2</v>
      </c>
      <c r="J173" s="7">
        <v>2</v>
      </c>
      <c r="K173" s="7">
        <v>2</v>
      </c>
      <c r="L173" s="7">
        <v>2</v>
      </c>
      <c r="M173" s="7">
        <v>2</v>
      </c>
      <c r="N173" s="1">
        <f t="shared" si="23"/>
        <v>2</v>
      </c>
      <c r="O173" s="1" t="str">
        <f t="shared" si="21"/>
        <v>Meets Expectations</v>
      </c>
    </row>
    <row r="174" spans="1:15" x14ac:dyDescent="0.55000000000000004">
      <c r="A174" s="3">
        <v>1238911173</v>
      </c>
      <c r="B174" s="1" t="s">
        <v>12</v>
      </c>
      <c r="C174" s="6">
        <v>26584</v>
      </c>
      <c r="D174" s="6">
        <v>40471</v>
      </c>
      <c r="E174" s="6"/>
      <c r="F174" s="6"/>
      <c r="G174" s="1" t="s">
        <v>44</v>
      </c>
      <c r="H174" s="2">
        <v>41638.75</v>
      </c>
      <c r="I174" s="7">
        <v>3</v>
      </c>
      <c r="J174" s="7">
        <v>2</v>
      </c>
      <c r="K174" s="7">
        <v>1</v>
      </c>
      <c r="L174" s="7">
        <v>2</v>
      </c>
      <c r="M174" s="7">
        <v>3</v>
      </c>
      <c r="N174" s="1">
        <f t="shared" si="23"/>
        <v>2</v>
      </c>
      <c r="O174" s="1" t="str">
        <f t="shared" si="21"/>
        <v>Meets Expectations</v>
      </c>
    </row>
    <row r="175" spans="1:15" x14ac:dyDescent="0.55000000000000004">
      <c r="A175" s="3">
        <v>1238911174</v>
      </c>
      <c r="B175" s="1" t="s">
        <v>12</v>
      </c>
      <c r="C175" s="6">
        <v>26409</v>
      </c>
      <c r="D175" s="6">
        <v>39788</v>
      </c>
      <c r="E175" s="6"/>
      <c r="F175" s="6"/>
      <c r="G175" s="1" t="s">
        <v>44</v>
      </c>
      <c r="H175" s="2">
        <v>41638.75</v>
      </c>
      <c r="I175" s="7">
        <v>3</v>
      </c>
      <c r="J175" s="7">
        <v>2</v>
      </c>
      <c r="K175" s="7">
        <v>2</v>
      </c>
      <c r="L175" s="7">
        <v>1</v>
      </c>
      <c r="M175" s="7">
        <v>3</v>
      </c>
      <c r="N175" s="1">
        <f t="shared" si="23"/>
        <v>2</v>
      </c>
      <c r="O175" s="1" t="str">
        <f t="shared" si="21"/>
        <v>Meets Expectations</v>
      </c>
    </row>
    <row r="176" spans="1:15" x14ac:dyDescent="0.55000000000000004">
      <c r="A176" s="3">
        <v>1238911175</v>
      </c>
      <c r="B176" s="1" t="s">
        <v>14</v>
      </c>
      <c r="C176" s="6">
        <v>26462</v>
      </c>
      <c r="D176" s="6">
        <v>39906</v>
      </c>
      <c r="E176" s="6"/>
      <c r="F176" s="15" t="str">
        <f t="shared" ref="F176:F177" ca="1" si="26">IF(E176="",DATEDIF(D176,TODAY(),"y")&amp; "Years" &amp;DATEDIF(D176,TODAY(),"ym")&amp; "Months"&amp;DATEDIF(D176,TODAY(),"md") &amp;"Days",DATEDIF(D176,E176,"y")&amp; "Years" &amp;DATEDIF(D176,E176,"ym")&amp; "Months"&amp;DATEDIF(D176,E176,"md") &amp;"Days")</f>
        <v>17Years1Months10Days</v>
      </c>
      <c r="G176" s="1" t="s">
        <v>13</v>
      </c>
      <c r="H176" s="2">
        <v>27820</v>
      </c>
      <c r="I176" s="7">
        <v>1</v>
      </c>
      <c r="J176" s="7">
        <v>1</v>
      </c>
      <c r="K176" s="7">
        <v>2</v>
      </c>
      <c r="L176" s="7">
        <v>3</v>
      </c>
      <c r="M176" s="7">
        <v>3</v>
      </c>
      <c r="N176" s="1">
        <f t="shared" si="23"/>
        <v>2</v>
      </c>
      <c r="O176" s="1" t="str">
        <f t="shared" si="21"/>
        <v>Meets Expectations</v>
      </c>
    </row>
    <row r="177" spans="1:15" x14ac:dyDescent="0.55000000000000004">
      <c r="A177" s="3">
        <v>1238911176</v>
      </c>
      <c r="B177" s="1" t="s">
        <v>14</v>
      </c>
      <c r="C177" s="6">
        <v>26473</v>
      </c>
      <c r="D177" s="6">
        <v>37779</v>
      </c>
      <c r="E177" s="6"/>
      <c r="F177" s="15" t="str">
        <f t="shared" ca="1" si="26"/>
        <v>22Years11Months6Days</v>
      </c>
      <c r="G177" s="1" t="s">
        <v>13</v>
      </c>
      <c r="H177" s="2">
        <v>27820</v>
      </c>
      <c r="I177" s="7">
        <v>3</v>
      </c>
      <c r="J177" s="7">
        <v>2</v>
      </c>
      <c r="K177" s="7">
        <v>1</v>
      </c>
      <c r="L177" s="7">
        <v>2</v>
      </c>
      <c r="M177" s="7">
        <v>1</v>
      </c>
      <c r="N177" s="1">
        <f t="shared" si="23"/>
        <v>2</v>
      </c>
      <c r="O177" s="1" t="str">
        <f t="shared" si="21"/>
        <v>Meets Expectations</v>
      </c>
    </row>
    <row r="178" spans="1:15" x14ac:dyDescent="0.55000000000000004">
      <c r="A178" s="3">
        <v>1238911177</v>
      </c>
      <c r="B178" s="1" t="s">
        <v>12</v>
      </c>
      <c r="C178" s="6">
        <v>26504</v>
      </c>
      <c r="D178" s="6">
        <v>35993</v>
      </c>
      <c r="E178" s="6"/>
      <c r="F178" s="6"/>
      <c r="G178" s="1" t="s">
        <v>73</v>
      </c>
      <c r="H178" s="2">
        <v>54642.25</v>
      </c>
      <c r="I178" s="7">
        <v>1</v>
      </c>
      <c r="J178" s="7">
        <v>1</v>
      </c>
      <c r="K178" s="7">
        <v>1</v>
      </c>
      <c r="L178" s="7">
        <v>3</v>
      </c>
      <c r="M178" s="7">
        <v>2</v>
      </c>
      <c r="N178" s="1">
        <f t="shared" si="23"/>
        <v>2</v>
      </c>
      <c r="O178" s="1" t="str">
        <f t="shared" si="21"/>
        <v>Meets Expectations</v>
      </c>
    </row>
    <row r="179" spans="1:15" x14ac:dyDescent="0.55000000000000004">
      <c r="A179" s="3">
        <v>1238911178</v>
      </c>
      <c r="B179" s="1" t="s">
        <v>14</v>
      </c>
      <c r="C179" s="6">
        <v>32717</v>
      </c>
      <c r="D179" s="6">
        <v>45334</v>
      </c>
      <c r="E179" s="6">
        <v>45889</v>
      </c>
      <c r="F179" s="15" t="str">
        <f ca="1">IF(E179="",DATEDIF(D179,TODAY(),"y")&amp; "Years" &amp;DATEDIF(D179,TODAY(),"ym")&amp; "Months"&amp;DATEDIF(D179,TODAY(),"md") &amp;"Days",DATEDIF(D179,E179,"y")&amp; "Years" &amp;DATEDIF(D179,E179,"ym")&amp; "Months"&amp;DATEDIF(D179,E179,"md") &amp;"Days")</f>
        <v>1Years6Months8Days</v>
      </c>
      <c r="G179" s="1" t="s">
        <v>74</v>
      </c>
      <c r="H179" s="2">
        <v>49997.5</v>
      </c>
      <c r="I179" s="7">
        <v>2</v>
      </c>
      <c r="J179" s="7">
        <v>3</v>
      </c>
      <c r="K179" s="7">
        <v>3</v>
      </c>
      <c r="L179" s="7">
        <v>1</v>
      </c>
      <c r="M179" s="7">
        <v>1</v>
      </c>
      <c r="N179" s="1">
        <f t="shared" si="23"/>
        <v>2</v>
      </c>
      <c r="O179" s="1" t="str">
        <f t="shared" si="21"/>
        <v>Meets Expectations</v>
      </c>
    </row>
    <row r="180" spans="1:15" x14ac:dyDescent="0.55000000000000004">
      <c r="A180" s="3">
        <v>1238911179</v>
      </c>
      <c r="B180" s="1" t="s">
        <v>12</v>
      </c>
      <c r="C180" s="6">
        <v>26551</v>
      </c>
      <c r="D180" s="6">
        <v>37854</v>
      </c>
      <c r="E180" s="6"/>
      <c r="F180" s="6"/>
      <c r="G180" s="1" t="s">
        <v>43</v>
      </c>
      <c r="H180" s="2">
        <v>33020</v>
      </c>
      <c r="I180" s="7">
        <v>2</v>
      </c>
      <c r="J180" s="7">
        <v>3</v>
      </c>
      <c r="K180" s="7">
        <v>1</v>
      </c>
      <c r="L180" s="7">
        <v>2</v>
      </c>
      <c r="M180" s="7">
        <v>3</v>
      </c>
      <c r="N180" s="1">
        <f t="shared" si="23"/>
        <v>2</v>
      </c>
      <c r="O180" s="1" t="str">
        <f t="shared" si="21"/>
        <v>Meets Expectations</v>
      </c>
    </row>
    <row r="181" spans="1:15" x14ac:dyDescent="0.55000000000000004">
      <c r="A181" s="3">
        <v>1238911180</v>
      </c>
      <c r="B181" s="1" t="s">
        <v>12</v>
      </c>
      <c r="C181" s="6">
        <v>26596</v>
      </c>
      <c r="D181" s="6">
        <v>39974</v>
      </c>
      <c r="E181" s="6"/>
      <c r="F181" s="6"/>
      <c r="G181" s="1" t="s">
        <v>75</v>
      </c>
      <c r="H181" s="2">
        <v>61672</v>
      </c>
      <c r="I181" s="7">
        <v>2</v>
      </c>
      <c r="J181" s="7">
        <v>3</v>
      </c>
      <c r="K181" s="7">
        <v>2</v>
      </c>
      <c r="L181" s="7">
        <v>2</v>
      </c>
      <c r="M181" s="7">
        <v>2</v>
      </c>
      <c r="N181" s="1">
        <f t="shared" si="23"/>
        <v>2</v>
      </c>
      <c r="O181" s="1" t="str">
        <f t="shared" si="21"/>
        <v>Meets Expectations</v>
      </c>
    </row>
    <row r="182" spans="1:15" x14ac:dyDescent="0.55000000000000004">
      <c r="A182" s="3">
        <v>1238911181</v>
      </c>
      <c r="B182" s="1" t="s">
        <v>12</v>
      </c>
      <c r="C182" s="6">
        <v>26694</v>
      </c>
      <c r="D182" s="6">
        <v>35554</v>
      </c>
      <c r="E182" s="6"/>
      <c r="F182" s="6"/>
      <c r="G182" s="1" t="s">
        <v>76</v>
      </c>
      <c r="H182" s="2">
        <v>137812.35</v>
      </c>
      <c r="I182" s="7">
        <v>2</v>
      </c>
      <c r="J182" s="7">
        <v>3</v>
      </c>
      <c r="K182" s="7">
        <v>2</v>
      </c>
      <c r="L182" s="7">
        <v>3</v>
      </c>
      <c r="M182" s="7">
        <v>2</v>
      </c>
      <c r="N182" s="1">
        <f t="shared" si="23"/>
        <v>2</v>
      </c>
      <c r="O182" s="1" t="str">
        <f t="shared" si="21"/>
        <v>Meets Expectations</v>
      </c>
    </row>
    <row r="183" spans="1:15" x14ac:dyDescent="0.55000000000000004">
      <c r="A183" s="3">
        <v>1238911182</v>
      </c>
      <c r="B183" s="1" t="s">
        <v>12</v>
      </c>
      <c r="C183" s="6">
        <v>25256</v>
      </c>
      <c r="D183" s="6">
        <v>38678</v>
      </c>
      <c r="E183" s="6">
        <v>44723</v>
      </c>
      <c r="F183" s="6"/>
      <c r="G183" s="1" t="s">
        <v>62</v>
      </c>
      <c r="H183" s="2">
        <v>39390</v>
      </c>
      <c r="I183" s="7">
        <v>1</v>
      </c>
      <c r="J183" s="7">
        <v>2</v>
      </c>
      <c r="K183" s="7">
        <v>1</v>
      </c>
      <c r="L183" s="7">
        <v>1</v>
      </c>
      <c r="M183" s="7">
        <v>3</v>
      </c>
      <c r="N183" s="1">
        <f t="shared" si="23"/>
        <v>2</v>
      </c>
      <c r="O183" s="1" t="str">
        <f t="shared" si="21"/>
        <v>Meets Expectations</v>
      </c>
    </row>
    <row r="184" spans="1:15" x14ac:dyDescent="0.55000000000000004">
      <c r="A184" s="3">
        <v>1238911183</v>
      </c>
      <c r="B184" s="1" t="s">
        <v>12</v>
      </c>
      <c r="C184" s="6">
        <v>26998</v>
      </c>
      <c r="D184" s="6">
        <v>38149</v>
      </c>
      <c r="E184" s="6"/>
      <c r="F184" s="6"/>
      <c r="G184" s="1" t="s">
        <v>77</v>
      </c>
      <c r="H184" s="2">
        <v>39390</v>
      </c>
      <c r="I184" s="7">
        <v>1</v>
      </c>
      <c r="J184" s="7">
        <v>2</v>
      </c>
      <c r="K184" s="7">
        <v>3</v>
      </c>
      <c r="L184" s="7">
        <v>2</v>
      </c>
      <c r="M184" s="7">
        <v>1</v>
      </c>
      <c r="N184" s="1">
        <f t="shared" si="23"/>
        <v>2</v>
      </c>
      <c r="O184" s="1" t="str">
        <f t="shared" si="21"/>
        <v>Meets Expectations</v>
      </c>
    </row>
    <row r="185" spans="1:15" x14ac:dyDescent="0.55000000000000004">
      <c r="A185" s="3">
        <v>1238911184</v>
      </c>
      <c r="B185" s="1" t="s">
        <v>12</v>
      </c>
      <c r="C185" s="6">
        <v>26726</v>
      </c>
      <c r="D185" s="6">
        <v>37417</v>
      </c>
      <c r="E185" s="6"/>
      <c r="F185" s="6"/>
      <c r="G185" s="1" t="s">
        <v>78</v>
      </c>
      <c r="H185" s="2">
        <v>84150</v>
      </c>
      <c r="I185" s="7">
        <v>2</v>
      </c>
      <c r="J185" s="7">
        <v>1</v>
      </c>
      <c r="K185" s="7">
        <v>2</v>
      </c>
      <c r="L185" s="7">
        <v>2</v>
      </c>
      <c r="M185" s="7">
        <v>3</v>
      </c>
      <c r="N185" s="1">
        <f t="shared" si="23"/>
        <v>2</v>
      </c>
      <c r="O185" s="1" t="str">
        <f t="shared" si="21"/>
        <v>Meets Expectations</v>
      </c>
    </row>
    <row r="186" spans="1:15" x14ac:dyDescent="0.55000000000000004">
      <c r="A186" s="3">
        <v>1238911185</v>
      </c>
      <c r="B186" s="1" t="s">
        <v>12</v>
      </c>
      <c r="C186" s="6">
        <v>26870</v>
      </c>
      <c r="D186" s="6">
        <v>42178</v>
      </c>
      <c r="E186" s="6">
        <v>42643</v>
      </c>
      <c r="F186" s="6"/>
      <c r="G186" s="1" t="s">
        <v>25</v>
      </c>
      <c r="H186" s="2">
        <v>29354</v>
      </c>
      <c r="I186" s="7">
        <v>3</v>
      </c>
      <c r="J186" s="7">
        <v>2</v>
      </c>
      <c r="K186" s="7">
        <v>2</v>
      </c>
      <c r="L186" s="7">
        <v>2</v>
      </c>
      <c r="M186" s="7">
        <v>2</v>
      </c>
      <c r="N186" s="1">
        <f t="shared" si="23"/>
        <v>2</v>
      </c>
      <c r="O186" s="1" t="str">
        <f t="shared" si="21"/>
        <v>Meets Expectations</v>
      </c>
    </row>
    <row r="187" spans="1:15" x14ac:dyDescent="0.55000000000000004">
      <c r="A187" s="3">
        <v>1238911186</v>
      </c>
      <c r="B187" s="1" t="s">
        <v>12</v>
      </c>
      <c r="C187" s="6">
        <v>26889</v>
      </c>
      <c r="D187" s="6">
        <v>38335</v>
      </c>
      <c r="E187" s="6"/>
      <c r="F187" s="6"/>
      <c r="G187" s="1" t="s">
        <v>79</v>
      </c>
      <c r="H187" s="2">
        <v>246281.25</v>
      </c>
      <c r="I187" s="7">
        <v>3</v>
      </c>
      <c r="J187" s="7">
        <v>2</v>
      </c>
      <c r="K187" s="7">
        <v>3</v>
      </c>
      <c r="L187" s="7">
        <v>3</v>
      </c>
      <c r="M187" s="7">
        <v>2</v>
      </c>
      <c r="N187" s="1">
        <f t="shared" si="23"/>
        <v>3</v>
      </c>
      <c r="O187" s="1" t="str">
        <f t="shared" si="21"/>
        <v>Exceeds Expectations</v>
      </c>
    </row>
    <row r="188" spans="1:15" x14ac:dyDescent="0.55000000000000004">
      <c r="A188" s="3">
        <v>1238911187</v>
      </c>
      <c r="B188" s="1" t="s">
        <v>14</v>
      </c>
      <c r="C188" s="6">
        <v>26749</v>
      </c>
      <c r="D188" s="6">
        <v>39815</v>
      </c>
      <c r="E188" s="6"/>
      <c r="F188" s="15" t="str">
        <f t="shared" ref="F188:F192" ca="1" si="27">IF(E188="",DATEDIF(D188,TODAY(),"y")&amp; "Years" &amp;DATEDIF(D188,TODAY(),"ym")&amp; "Months"&amp;DATEDIF(D188,TODAY(),"md") &amp;"Days",DATEDIF(D188,E188,"y")&amp; "Years" &amp;DATEDIF(D188,E188,"ym")&amp; "Months"&amp;DATEDIF(D188,E188,"md") &amp;"Days")</f>
        <v>17Years4Months11Days</v>
      </c>
      <c r="G188" s="1" t="s">
        <v>13</v>
      </c>
      <c r="H188" s="2">
        <v>28106</v>
      </c>
      <c r="I188" s="7">
        <v>2</v>
      </c>
      <c r="J188" s="7">
        <v>2</v>
      </c>
      <c r="K188" s="7">
        <v>3</v>
      </c>
      <c r="L188" s="7">
        <v>2</v>
      </c>
      <c r="M188" s="7">
        <v>1</v>
      </c>
      <c r="N188" s="1">
        <f t="shared" si="23"/>
        <v>2</v>
      </c>
      <c r="O188" s="1" t="str">
        <f t="shared" si="21"/>
        <v>Meets Expectations</v>
      </c>
    </row>
    <row r="189" spans="1:15" x14ac:dyDescent="0.55000000000000004">
      <c r="A189" s="3">
        <v>1238911188</v>
      </c>
      <c r="B189" s="1" t="s">
        <v>14</v>
      </c>
      <c r="C189" s="6">
        <v>26898</v>
      </c>
      <c r="D189" s="6">
        <v>39894</v>
      </c>
      <c r="E189" s="6"/>
      <c r="F189" s="15" t="str">
        <f t="shared" ca="1" si="27"/>
        <v>17Years1Months21Days</v>
      </c>
      <c r="G189" s="1" t="s">
        <v>13</v>
      </c>
      <c r="H189" s="2">
        <v>29224</v>
      </c>
      <c r="I189" s="7">
        <v>3</v>
      </c>
      <c r="J189" s="7">
        <v>2</v>
      </c>
      <c r="K189" s="7">
        <v>1</v>
      </c>
      <c r="L189" s="7">
        <v>1</v>
      </c>
      <c r="M189" s="7">
        <v>1</v>
      </c>
      <c r="N189" s="1">
        <f t="shared" si="23"/>
        <v>2</v>
      </c>
      <c r="O189" s="1" t="str">
        <f t="shared" si="21"/>
        <v>Meets Expectations</v>
      </c>
    </row>
    <row r="190" spans="1:15" x14ac:dyDescent="0.55000000000000004">
      <c r="A190" s="3">
        <v>1238911189</v>
      </c>
      <c r="B190" s="1" t="s">
        <v>14</v>
      </c>
      <c r="C190" s="6">
        <v>26901</v>
      </c>
      <c r="D190" s="6">
        <v>40401</v>
      </c>
      <c r="E190" s="6"/>
      <c r="F190" s="15" t="str">
        <f t="shared" ca="1" si="27"/>
        <v>15Years9Months2Days</v>
      </c>
      <c r="G190" s="1" t="s">
        <v>13</v>
      </c>
      <c r="H190" s="2">
        <v>27300</v>
      </c>
      <c r="I190" s="7">
        <v>1</v>
      </c>
      <c r="J190" s="7">
        <v>1</v>
      </c>
      <c r="K190" s="7">
        <v>3</v>
      </c>
      <c r="L190" s="7">
        <v>3</v>
      </c>
      <c r="M190" s="7">
        <v>2</v>
      </c>
      <c r="N190" s="1">
        <f t="shared" si="23"/>
        <v>2</v>
      </c>
      <c r="O190" s="1" t="str">
        <f t="shared" si="21"/>
        <v>Meets Expectations</v>
      </c>
    </row>
    <row r="191" spans="1:15" x14ac:dyDescent="0.55000000000000004">
      <c r="A191" s="3">
        <v>1238911190</v>
      </c>
      <c r="B191" s="1" t="s">
        <v>14</v>
      </c>
      <c r="C191" s="6">
        <v>26907</v>
      </c>
      <c r="D191" s="6">
        <v>43462</v>
      </c>
      <c r="E191" s="6">
        <v>43901</v>
      </c>
      <c r="F191" s="15" t="str">
        <f t="shared" ca="1" si="27"/>
        <v>1Years2Months12Days</v>
      </c>
      <c r="G191" s="1" t="s">
        <v>80</v>
      </c>
      <c r="H191" s="2">
        <v>41465</v>
      </c>
      <c r="I191" s="7">
        <v>1</v>
      </c>
      <c r="J191" s="7">
        <v>1</v>
      </c>
      <c r="K191" s="7">
        <v>3</v>
      </c>
      <c r="L191" s="7">
        <v>3</v>
      </c>
      <c r="M191" s="7">
        <v>3</v>
      </c>
      <c r="N191" s="1">
        <f t="shared" si="23"/>
        <v>2</v>
      </c>
      <c r="O191" s="1" t="str">
        <f t="shared" si="21"/>
        <v>Meets Expectations</v>
      </c>
    </row>
    <row r="192" spans="1:15" x14ac:dyDescent="0.55000000000000004">
      <c r="A192" s="3">
        <v>1238911191</v>
      </c>
      <c r="B192" s="1" t="s">
        <v>14</v>
      </c>
      <c r="C192" s="6">
        <v>27014</v>
      </c>
      <c r="D192" s="6">
        <v>37547</v>
      </c>
      <c r="E192" s="6"/>
      <c r="F192" s="15" t="str">
        <f t="shared" ca="1" si="27"/>
        <v>23Years6Months25Days</v>
      </c>
      <c r="G192" s="1" t="s">
        <v>44</v>
      </c>
      <c r="H192" s="2">
        <v>28600</v>
      </c>
      <c r="I192" s="7">
        <v>2</v>
      </c>
      <c r="J192" s="7">
        <v>2</v>
      </c>
      <c r="K192" s="7">
        <v>1</v>
      </c>
      <c r="L192" s="7">
        <v>2</v>
      </c>
      <c r="M192" s="7">
        <v>3</v>
      </c>
      <c r="N192" s="1">
        <f t="shared" si="23"/>
        <v>2</v>
      </c>
      <c r="O192" s="1" t="str">
        <f t="shared" si="21"/>
        <v>Meets Expectations</v>
      </c>
    </row>
    <row r="193" spans="1:15" x14ac:dyDescent="0.55000000000000004">
      <c r="A193" s="3">
        <v>1238911192</v>
      </c>
      <c r="B193" s="1" t="s">
        <v>12</v>
      </c>
      <c r="C193" s="6">
        <v>27024</v>
      </c>
      <c r="D193" s="6">
        <v>35993</v>
      </c>
      <c r="E193" s="6"/>
      <c r="F193" s="6"/>
      <c r="G193" s="1" t="s">
        <v>81</v>
      </c>
      <c r="H193" s="2">
        <v>44200</v>
      </c>
      <c r="I193" s="7">
        <v>2</v>
      </c>
      <c r="J193" s="7">
        <v>2</v>
      </c>
      <c r="K193" s="7">
        <v>1</v>
      </c>
      <c r="L193" s="7">
        <v>3</v>
      </c>
      <c r="M193" s="7">
        <v>3</v>
      </c>
      <c r="N193" s="1">
        <f t="shared" si="23"/>
        <v>2</v>
      </c>
      <c r="O193" s="1" t="str">
        <f t="shared" si="21"/>
        <v>Meets Expectations</v>
      </c>
    </row>
    <row r="194" spans="1:15" x14ac:dyDescent="0.55000000000000004">
      <c r="A194" s="3">
        <v>1238911193</v>
      </c>
      <c r="B194" s="1" t="s">
        <v>14</v>
      </c>
      <c r="C194" s="6">
        <v>27055</v>
      </c>
      <c r="D194" s="6">
        <v>36933</v>
      </c>
      <c r="E194" s="6"/>
      <c r="F194" s="15" t="str">
        <f ca="1">IF(E194="",DATEDIF(D194,TODAY(),"y")&amp; "Years" &amp;DATEDIF(D194,TODAY(),"ym")&amp; "Months"&amp;DATEDIF(D194,TODAY(),"md") &amp;"Days",DATEDIF(D194,E194,"y")&amp; "Years" &amp;DATEDIF(D194,E194,"ym")&amp; "Months"&amp;DATEDIF(D194,E194,"md") &amp;"Days")</f>
        <v>25Years3Months2Days</v>
      </c>
      <c r="G194" s="1" t="s">
        <v>25</v>
      </c>
      <c r="H194" s="2">
        <v>27586</v>
      </c>
      <c r="I194" s="7">
        <v>1</v>
      </c>
      <c r="J194" s="7">
        <v>3</v>
      </c>
      <c r="K194" s="7">
        <v>2</v>
      </c>
      <c r="L194" s="7">
        <v>3</v>
      </c>
      <c r="M194" s="7">
        <v>3</v>
      </c>
      <c r="N194" s="1">
        <f t="shared" si="23"/>
        <v>2</v>
      </c>
      <c r="O194" s="1" t="str">
        <f t="shared" si="21"/>
        <v>Meets Expectations</v>
      </c>
    </row>
    <row r="195" spans="1:15" x14ac:dyDescent="0.55000000000000004">
      <c r="A195" s="3">
        <v>1238911194</v>
      </c>
      <c r="B195" s="1" t="s">
        <v>12</v>
      </c>
      <c r="C195" s="6">
        <v>27123</v>
      </c>
      <c r="D195" s="6">
        <v>37854</v>
      </c>
      <c r="E195" s="6"/>
      <c r="F195" s="6"/>
      <c r="G195" s="1" t="s">
        <v>82</v>
      </c>
      <c r="H195" s="2">
        <v>132562.625</v>
      </c>
      <c r="I195" s="7">
        <v>3</v>
      </c>
      <c r="J195" s="7">
        <v>2</v>
      </c>
      <c r="K195" s="7">
        <v>3</v>
      </c>
      <c r="L195" s="7">
        <v>2</v>
      </c>
      <c r="M195" s="7">
        <v>2</v>
      </c>
      <c r="N195" s="1">
        <f t="shared" si="23"/>
        <v>2</v>
      </c>
      <c r="O195" s="1" t="str">
        <f t="shared" si="21"/>
        <v>Meets Expectations</v>
      </c>
    </row>
    <row r="196" spans="1:15" x14ac:dyDescent="0.55000000000000004">
      <c r="A196" s="3">
        <v>1238911195</v>
      </c>
      <c r="B196" s="1" t="s">
        <v>12</v>
      </c>
      <c r="C196" s="6">
        <v>27221</v>
      </c>
      <c r="D196" s="6">
        <v>39974</v>
      </c>
      <c r="E196" s="6"/>
      <c r="F196" s="6"/>
      <c r="G196" s="1" t="s">
        <v>43</v>
      </c>
      <c r="H196" s="2">
        <v>31590</v>
      </c>
      <c r="I196" s="7">
        <v>2</v>
      </c>
      <c r="J196" s="7">
        <v>2</v>
      </c>
      <c r="K196" s="7">
        <v>1</v>
      </c>
      <c r="L196" s="7">
        <v>3</v>
      </c>
      <c r="M196" s="7">
        <v>2</v>
      </c>
      <c r="N196" s="1">
        <f t="shared" si="23"/>
        <v>2</v>
      </c>
      <c r="O196" s="1" t="str">
        <f t="shared" ref="O196:O259" si="28">IF(N196=1,"Below Expectations",IF(N196=2,"Meets Expectations","Exceeds Expectations"))</f>
        <v>Meets Expectations</v>
      </c>
    </row>
    <row r="197" spans="1:15" x14ac:dyDescent="0.55000000000000004">
      <c r="A197" s="3">
        <v>1238911196</v>
      </c>
      <c r="B197" s="1" t="s">
        <v>12</v>
      </c>
      <c r="C197" s="6">
        <v>27272</v>
      </c>
      <c r="D197" s="6">
        <v>44320</v>
      </c>
      <c r="E197" s="6">
        <v>45044</v>
      </c>
      <c r="F197" s="6"/>
      <c r="G197" s="1" t="s">
        <v>83</v>
      </c>
      <c r="H197" s="2">
        <v>102756.22499999999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1">
        <f t="shared" si="23"/>
        <v>2</v>
      </c>
      <c r="O197" s="1" t="str">
        <f t="shared" si="28"/>
        <v>Meets Expectations</v>
      </c>
    </row>
    <row r="198" spans="1:15" x14ac:dyDescent="0.55000000000000004">
      <c r="A198" s="3">
        <v>1238911197</v>
      </c>
      <c r="B198" s="1" t="s">
        <v>12</v>
      </c>
      <c r="C198" s="6">
        <v>27275</v>
      </c>
      <c r="D198" s="6">
        <v>35755</v>
      </c>
      <c r="E198" s="6"/>
      <c r="F198" s="6"/>
      <c r="G198" s="1" t="s">
        <v>13</v>
      </c>
      <c r="H198" s="2">
        <v>30472</v>
      </c>
      <c r="I198" s="7">
        <v>1</v>
      </c>
      <c r="J198" s="7">
        <v>1</v>
      </c>
      <c r="K198" s="7">
        <v>1</v>
      </c>
      <c r="L198" s="7">
        <v>3</v>
      </c>
      <c r="M198" s="7">
        <v>1</v>
      </c>
      <c r="N198" s="1">
        <f t="shared" si="23"/>
        <v>1</v>
      </c>
      <c r="O198" s="1" t="str">
        <f t="shared" si="28"/>
        <v>Below Expectations</v>
      </c>
    </row>
    <row r="199" spans="1:15" x14ac:dyDescent="0.55000000000000004">
      <c r="A199" s="3">
        <v>1238911198</v>
      </c>
      <c r="B199" s="1" t="s">
        <v>14</v>
      </c>
      <c r="C199" s="6">
        <v>27384</v>
      </c>
      <c r="D199" s="6">
        <v>38149</v>
      </c>
      <c r="E199" s="6"/>
      <c r="F199" s="15" t="str">
        <f t="shared" ref="F199:F200" ca="1" si="29">IF(E199="",DATEDIF(D199,TODAY(),"y")&amp; "Years" &amp;DATEDIF(D199,TODAY(),"ym")&amp; "Months"&amp;DATEDIF(D199,TODAY(),"md") &amp;"Days",DATEDIF(D199,E199,"y")&amp; "Years" &amp;DATEDIF(D199,E199,"ym")&amp; "Months"&amp;DATEDIF(D199,E199,"md") &amp;"Days")</f>
        <v>21Years11Months2Days</v>
      </c>
      <c r="G199" s="1" t="s">
        <v>32</v>
      </c>
      <c r="H199" s="2">
        <v>34814</v>
      </c>
      <c r="I199" s="7">
        <v>1</v>
      </c>
      <c r="J199" s="7">
        <v>3</v>
      </c>
      <c r="K199" s="7">
        <v>1</v>
      </c>
      <c r="L199" s="7">
        <v>1</v>
      </c>
      <c r="M199" s="7">
        <v>1</v>
      </c>
      <c r="N199" s="1">
        <f t="shared" si="23"/>
        <v>1</v>
      </c>
      <c r="O199" s="1" t="str">
        <f t="shared" si="28"/>
        <v>Below Expectations</v>
      </c>
    </row>
    <row r="200" spans="1:15" x14ac:dyDescent="0.55000000000000004">
      <c r="A200" s="3">
        <v>1238911199</v>
      </c>
      <c r="B200" s="1" t="s">
        <v>14</v>
      </c>
      <c r="C200" s="6">
        <v>27384</v>
      </c>
      <c r="D200" s="6">
        <v>37417</v>
      </c>
      <c r="E200" s="6"/>
      <c r="F200" s="15" t="str">
        <f t="shared" ca="1" si="29"/>
        <v>23Years11Months3Days</v>
      </c>
      <c r="G200" s="1" t="s">
        <v>32</v>
      </c>
      <c r="H200" s="2">
        <v>34814</v>
      </c>
      <c r="I200" s="7">
        <v>2</v>
      </c>
      <c r="J200" s="7">
        <v>2</v>
      </c>
      <c r="K200" s="7">
        <v>1</v>
      </c>
      <c r="L200" s="7">
        <v>1</v>
      </c>
      <c r="M200" s="7">
        <v>2</v>
      </c>
      <c r="N200" s="1">
        <f t="shared" ref="N200:N263" si="30">ROUND(AVERAGE(I200:M200),0)</f>
        <v>2</v>
      </c>
      <c r="O200" s="1" t="str">
        <f t="shared" si="28"/>
        <v>Meets Expectations</v>
      </c>
    </row>
    <row r="201" spans="1:15" x14ac:dyDescent="0.55000000000000004">
      <c r="A201" s="3">
        <v>1238911200</v>
      </c>
      <c r="B201" s="1" t="s">
        <v>12</v>
      </c>
      <c r="C201" s="6">
        <v>27387</v>
      </c>
      <c r="D201" s="6">
        <v>37065</v>
      </c>
      <c r="E201" s="6"/>
      <c r="F201" s="6"/>
      <c r="G201" s="1" t="s">
        <v>13</v>
      </c>
      <c r="H201" s="2">
        <v>26624</v>
      </c>
      <c r="I201" s="7">
        <v>2</v>
      </c>
      <c r="J201" s="7">
        <v>2</v>
      </c>
      <c r="K201" s="7">
        <v>2</v>
      </c>
      <c r="L201" s="7">
        <v>1</v>
      </c>
      <c r="M201" s="7">
        <v>2</v>
      </c>
      <c r="N201" s="1">
        <f t="shared" si="30"/>
        <v>2</v>
      </c>
      <c r="O201" s="1" t="str">
        <f t="shared" si="28"/>
        <v>Meets Expectations</v>
      </c>
    </row>
    <row r="202" spans="1:15" x14ac:dyDescent="0.55000000000000004">
      <c r="A202" s="3">
        <v>1238911201</v>
      </c>
      <c r="B202" s="1" t="s">
        <v>14</v>
      </c>
      <c r="C202" s="6">
        <v>27388</v>
      </c>
      <c r="D202" s="6">
        <v>44910</v>
      </c>
      <c r="E202" s="6">
        <v>45786</v>
      </c>
      <c r="F202" s="15" t="str">
        <f ca="1">IF(E202="",DATEDIF(D202,TODAY(),"y")&amp; "Years" &amp;DATEDIF(D202,TODAY(),"ym")&amp; "Months"&amp;DATEDIF(D202,TODAY(),"md") &amp;"Days",DATEDIF(D202,E202,"y")&amp; "Years" &amp;DATEDIF(D202,E202,"ym")&amp; "Months"&amp;DATEDIF(D202,E202,"md") &amp;"Days")</f>
        <v>2Years4Months24Days</v>
      </c>
      <c r="G202" s="1" t="s">
        <v>44</v>
      </c>
      <c r="H202" s="2">
        <v>31200</v>
      </c>
      <c r="I202" s="7">
        <v>3</v>
      </c>
      <c r="J202" s="7">
        <v>1</v>
      </c>
      <c r="K202" s="7">
        <v>2</v>
      </c>
      <c r="L202" s="7">
        <v>1</v>
      </c>
      <c r="M202" s="7">
        <v>3</v>
      </c>
      <c r="N202" s="1">
        <f t="shared" si="30"/>
        <v>2</v>
      </c>
      <c r="O202" s="1" t="str">
        <f t="shared" si="28"/>
        <v>Meets Expectations</v>
      </c>
    </row>
    <row r="203" spans="1:15" x14ac:dyDescent="0.55000000000000004">
      <c r="A203" s="3">
        <v>1238911202</v>
      </c>
      <c r="B203" s="1" t="s">
        <v>12</v>
      </c>
      <c r="C203" s="6">
        <v>26021</v>
      </c>
      <c r="D203" s="6">
        <v>43834</v>
      </c>
      <c r="E203" s="6">
        <v>44862</v>
      </c>
      <c r="F203" s="6"/>
      <c r="G203" s="1" t="s">
        <v>84</v>
      </c>
      <c r="H203" s="2">
        <v>34138</v>
      </c>
      <c r="I203" s="7">
        <v>1</v>
      </c>
      <c r="J203" s="7">
        <v>2</v>
      </c>
      <c r="K203" s="7">
        <v>1</v>
      </c>
      <c r="L203" s="7">
        <v>3</v>
      </c>
      <c r="M203" s="7">
        <v>3</v>
      </c>
      <c r="N203" s="1">
        <f t="shared" si="30"/>
        <v>2</v>
      </c>
      <c r="O203" s="1" t="str">
        <f t="shared" si="28"/>
        <v>Meets Expectations</v>
      </c>
    </row>
    <row r="204" spans="1:15" x14ac:dyDescent="0.55000000000000004">
      <c r="A204" s="3">
        <v>1238911203</v>
      </c>
      <c r="B204" s="1" t="s">
        <v>12</v>
      </c>
      <c r="C204" s="6">
        <v>27548</v>
      </c>
      <c r="D204" s="6">
        <v>39894</v>
      </c>
      <c r="E204" s="6"/>
      <c r="F204" s="6"/>
      <c r="G204" s="1" t="s">
        <v>85</v>
      </c>
      <c r="H204" s="2">
        <v>79330</v>
      </c>
      <c r="I204" s="7">
        <v>2</v>
      </c>
      <c r="J204" s="7">
        <v>1</v>
      </c>
      <c r="K204" s="7">
        <v>1</v>
      </c>
      <c r="L204" s="7">
        <v>2</v>
      </c>
      <c r="M204" s="7">
        <v>3</v>
      </c>
      <c r="N204" s="1">
        <f t="shared" si="30"/>
        <v>2</v>
      </c>
      <c r="O204" s="1" t="str">
        <f t="shared" si="28"/>
        <v>Meets Expectations</v>
      </c>
    </row>
    <row r="205" spans="1:15" x14ac:dyDescent="0.55000000000000004">
      <c r="A205" s="3">
        <v>1238911204</v>
      </c>
      <c r="B205" s="1" t="s">
        <v>12</v>
      </c>
      <c r="C205" s="6">
        <v>28896</v>
      </c>
      <c r="D205" s="6">
        <v>44006</v>
      </c>
      <c r="E205" s="6">
        <v>44565</v>
      </c>
      <c r="F205" s="6"/>
      <c r="G205" s="1" t="s">
        <v>85</v>
      </c>
      <c r="H205" s="2">
        <v>79330</v>
      </c>
      <c r="I205" s="7">
        <v>2</v>
      </c>
      <c r="J205" s="7">
        <v>3</v>
      </c>
      <c r="K205" s="7">
        <v>3</v>
      </c>
      <c r="L205" s="7">
        <v>1</v>
      </c>
      <c r="M205" s="7">
        <v>2</v>
      </c>
      <c r="N205" s="1">
        <f t="shared" si="30"/>
        <v>2</v>
      </c>
      <c r="O205" s="1" t="str">
        <f t="shared" si="28"/>
        <v>Meets Expectations</v>
      </c>
    </row>
    <row r="206" spans="1:15" x14ac:dyDescent="0.55000000000000004">
      <c r="A206" s="3">
        <v>1238911205</v>
      </c>
      <c r="B206" s="1" t="s">
        <v>12</v>
      </c>
      <c r="C206" s="6">
        <v>27554</v>
      </c>
      <c r="D206" s="6">
        <v>40401</v>
      </c>
      <c r="E206" s="6"/>
      <c r="F206" s="6"/>
      <c r="G206" s="1" t="s">
        <v>36</v>
      </c>
      <c r="H206" s="2">
        <v>61381.450000000004</v>
      </c>
      <c r="I206" s="7">
        <v>1</v>
      </c>
      <c r="J206" s="7">
        <v>3</v>
      </c>
      <c r="K206" s="7">
        <v>1</v>
      </c>
      <c r="L206" s="7">
        <v>2</v>
      </c>
      <c r="M206" s="7">
        <v>3</v>
      </c>
      <c r="N206" s="1">
        <f t="shared" si="30"/>
        <v>2</v>
      </c>
      <c r="O206" s="1" t="str">
        <f t="shared" si="28"/>
        <v>Meets Expectations</v>
      </c>
    </row>
    <row r="207" spans="1:15" x14ac:dyDescent="0.55000000000000004">
      <c r="A207" s="3">
        <v>1238911206</v>
      </c>
      <c r="B207" s="1" t="s">
        <v>14</v>
      </c>
      <c r="C207" s="6">
        <v>27575</v>
      </c>
      <c r="D207" s="6">
        <v>44558</v>
      </c>
      <c r="E207" s="6">
        <v>45497</v>
      </c>
      <c r="F207" s="15" t="str">
        <f ca="1">IF(E207="",DATEDIF(D207,TODAY(),"y")&amp; "Years" &amp;DATEDIF(D207,TODAY(),"ym")&amp; "Months"&amp;DATEDIF(D207,TODAY(),"md") &amp;"Days",DATEDIF(D207,E207,"y")&amp; "Years" &amp;DATEDIF(D207,E207,"ym")&amp; "Months"&amp;DATEDIF(D207,E207,"md") &amp;"Days")</f>
        <v>2Years6Months26Days</v>
      </c>
      <c r="G207" s="1" t="s">
        <v>74</v>
      </c>
      <c r="H207" s="2">
        <v>50000</v>
      </c>
      <c r="I207" s="7">
        <v>1</v>
      </c>
      <c r="J207" s="7">
        <v>2</v>
      </c>
      <c r="K207" s="7">
        <v>1</v>
      </c>
      <c r="L207" s="7">
        <v>2</v>
      </c>
      <c r="M207" s="7">
        <v>2</v>
      </c>
      <c r="N207" s="1">
        <f t="shared" si="30"/>
        <v>2</v>
      </c>
      <c r="O207" s="1" t="str">
        <f t="shared" si="28"/>
        <v>Meets Expectations</v>
      </c>
    </row>
    <row r="208" spans="1:15" x14ac:dyDescent="0.55000000000000004">
      <c r="A208" s="3">
        <v>1238911207</v>
      </c>
      <c r="B208" s="1" t="s">
        <v>12</v>
      </c>
      <c r="C208" s="6">
        <v>27622</v>
      </c>
      <c r="D208" s="6">
        <v>38664</v>
      </c>
      <c r="E208" s="6"/>
      <c r="F208" s="6"/>
      <c r="G208" s="1" t="s">
        <v>25</v>
      </c>
      <c r="H208" s="2">
        <v>29172</v>
      </c>
      <c r="I208" s="7">
        <v>3</v>
      </c>
      <c r="J208" s="7">
        <v>1</v>
      </c>
      <c r="K208" s="7">
        <v>1</v>
      </c>
      <c r="L208" s="7">
        <v>2</v>
      </c>
      <c r="M208" s="7">
        <v>1</v>
      </c>
      <c r="N208" s="1">
        <f t="shared" si="30"/>
        <v>2</v>
      </c>
      <c r="O208" s="1" t="str">
        <f t="shared" si="28"/>
        <v>Meets Expectations</v>
      </c>
    </row>
    <row r="209" spans="1:15" x14ac:dyDescent="0.55000000000000004">
      <c r="A209" s="3">
        <v>1238911208</v>
      </c>
      <c r="B209" s="1" t="s">
        <v>12</v>
      </c>
      <c r="C209" s="6">
        <v>27623</v>
      </c>
      <c r="D209" s="6">
        <v>37547</v>
      </c>
      <c r="E209" s="6"/>
      <c r="F209" s="6"/>
      <c r="G209" s="1" t="s">
        <v>86</v>
      </c>
      <c r="H209" s="2">
        <v>105634.1</v>
      </c>
      <c r="I209" s="7">
        <v>2</v>
      </c>
      <c r="J209" s="7">
        <v>3</v>
      </c>
      <c r="K209" s="7">
        <v>3</v>
      </c>
      <c r="L209" s="7">
        <v>2</v>
      </c>
      <c r="M209" s="7">
        <v>2</v>
      </c>
      <c r="N209" s="1">
        <f t="shared" si="30"/>
        <v>2</v>
      </c>
      <c r="O209" s="1" t="str">
        <f t="shared" si="28"/>
        <v>Meets Expectations</v>
      </c>
    </row>
    <row r="210" spans="1:15" x14ac:dyDescent="0.55000000000000004">
      <c r="A210" s="3">
        <v>1238911209</v>
      </c>
      <c r="B210" s="1" t="s">
        <v>14</v>
      </c>
      <c r="C210" s="6">
        <v>27623</v>
      </c>
      <c r="D210" s="6">
        <v>35993</v>
      </c>
      <c r="E210" s="6"/>
      <c r="F210" s="15" t="str">
        <f ca="1">IF(E210="",DATEDIF(D210,TODAY(),"y")&amp; "Years" &amp;DATEDIF(D210,TODAY(),"ym")&amp; "Months"&amp;DATEDIF(D210,TODAY(),"md") &amp;"Days",DATEDIF(D210,E210,"y")&amp; "Years" &amp;DATEDIF(D210,E210,"ym")&amp; "Months"&amp;DATEDIF(D210,E210,"md") &amp;"Days")</f>
        <v>27Years9Months26Days</v>
      </c>
      <c r="G210" s="1" t="s">
        <v>13</v>
      </c>
      <c r="H210" s="2">
        <v>29094</v>
      </c>
      <c r="I210" s="7">
        <v>3</v>
      </c>
      <c r="J210" s="7">
        <v>2</v>
      </c>
      <c r="K210" s="7">
        <v>1</v>
      </c>
      <c r="L210" s="7">
        <v>2</v>
      </c>
      <c r="M210" s="7">
        <v>1</v>
      </c>
      <c r="N210" s="1">
        <f t="shared" si="30"/>
        <v>2</v>
      </c>
      <c r="O210" s="1" t="str">
        <f t="shared" si="28"/>
        <v>Meets Expectations</v>
      </c>
    </row>
    <row r="211" spans="1:15" x14ac:dyDescent="0.55000000000000004">
      <c r="A211" s="3">
        <v>1238911210</v>
      </c>
      <c r="B211" s="1" t="s">
        <v>12</v>
      </c>
      <c r="C211" s="6">
        <v>27687</v>
      </c>
      <c r="D211" s="6">
        <v>36933</v>
      </c>
      <c r="E211" s="6"/>
      <c r="F211" s="6"/>
      <c r="G211" s="1" t="s">
        <v>87</v>
      </c>
      <c r="H211" s="2">
        <v>32240</v>
      </c>
      <c r="I211" s="7">
        <v>3</v>
      </c>
      <c r="J211" s="7">
        <v>2</v>
      </c>
      <c r="K211" s="7">
        <v>1</v>
      </c>
      <c r="L211" s="7">
        <v>1</v>
      </c>
      <c r="M211" s="7">
        <v>1</v>
      </c>
      <c r="N211" s="1">
        <f t="shared" si="30"/>
        <v>2</v>
      </c>
      <c r="O211" s="1" t="str">
        <f t="shared" si="28"/>
        <v>Meets Expectations</v>
      </c>
    </row>
    <row r="212" spans="1:15" x14ac:dyDescent="0.55000000000000004">
      <c r="A212" s="3">
        <v>1238911211</v>
      </c>
      <c r="B212" s="1" t="s">
        <v>12</v>
      </c>
      <c r="C212" s="6">
        <v>34758</v>
      </c>
      <c r="D212" s="6">
        <v>44685</v>
      </c>
      <c r="E212" s="6"/>
      <c r="F212" s="6"/>
      <c r="G212" s="1" t="s">
        <v>87</v>
      </c>
      <c r="H212" s="2">
        <v>32240</v>
      </c>
      <c r="I212" s="7">
        <v>1</v>
      </c>
      <c r="J212" s="7">
        <v>1</v>
      </c>
      <c r="K212" s="7">
        <v>2</v>
      </c>
      <c r="L212" s="7">
        <v>3</v>
      </c>
      <c r="M212" s="7">
        <v>3</v>
      </c>
      <c r="N212" s="1">
        <f t="shared" si="30"/>
        <v>2</v>
      </c>
      <c r="O212" s="1" t="str">
        <f t="shared" si="28"/>
        <v>Meets Expectations</v>
      </c>
    </row>
    <row r="213" spans="1:15" x14ac:dyDescent="0.55000000000000004">
      <c r="A213" s="3">
        <v>1238911212</v>
      </c>
      <c r="B213" s="1" t="s">
        <v>14</v>
      </c>
      <c r="C213" s="6">
        <v>35003</v>
      </c>
      <c r="D213" s="6">
        <v>43699</v>
      </c>
      <c r="E213" s="6">
        <v>44911</v>
      </c>
      <c r="F213" s="15" t="str">
        <f t="shared" ref="F213:F218" ca="1" si="31">IF(E213="",DATEDIF(D213,TODAY(),"y")&amp; "Years" &amp;DATEDIF(D213,TODAY(),"ym")&amp; "Months"&amp;DATEDIF(D213,TODAY(),"md") &amp;"Days",DATEDIF(D213,E213,"y")&amp; "Years" &amp;DATEDIF(D213,E213,"ym")&amp; "Months"&amp;DATEDIF(D213,E213,"md") &amp;"Days")</f>
        <v>3Years3Months24Days</v>
      </c>
      <c r="G213" s="1" t="s">
        <v>44</v>
      </c>
      <c r="H213" s="2">
        <v>32266</v>
      </c>
      <c r="I213" s="7">
        <v>3</v>
      </c>
      <c r="J213" s="7">
        <v>3</v>
      </c>
      <c r="K213" s="7">
        <v>2</v>
      </c>
      <c r="L213" s="7">
        <v>2</v>
      </c>
      <c r="M213" s="7">
        <v>2</v>
      </c>
      <c r="N213" s="1">
        <f t="shared" si="30"/>
        <v>2</v>
      </c>
      <c r="O213" s="1" t="str">
        <f t="shared" si="28"/>
        <v>Meets Expectations</v>
      </c>
    </row>
    <row r="214" spans="1:15" x14ac:dyDescent="0.55000000000000004">
      <c r="A214" s="3">
        <v>1238911213</v>
      </c>
      <c r="B214" s="1" t="s">
        <v>14</v>
      </c>
      <c r="C214" s="6">
        <v>27728</v>
      </c>
      <c r="D214" s="6">
        <v>39974</v>
      </c>
      <c r="E214" s="6"/>
      <c r="F214" s="15" t="str">
        <f t="shared" ca="1" si="31"/>
        <v>16Years11Months3Days</v>
      </c>
      <c r="G214" s="1" t="s">
        <v>88</v>
      </c>
      <c r="H214" s="2">
        <v>44642</v>
      </c>
      <c r="I214" s="7">
        <v>1</v>
      </c>
      <c r="J214" s="7">
        <v>2</v>
      </c>
      <c r="K214" s="7">
        <v>3</v>
      </c>
      <c r="L214" s="7">
        <v>3</v>
      </c>
      <c r="M214" s="7">
        <v>2</v>
      </c>
      <c r="N214" s="1">
        <f t="shared" si="30"/>
        <v>2</v>
      </c>
      <c r="O214" s="1" t="str">
        <f t="shared" si="28"/>
        <v>Meets Expectations</v>
      </c>
    </row>
    <row r="215" spans="1:15" x14ac:dyDescent="0.55000000000000004">
      <c r="A215" s="3">
        <v>1238911214</v>
      </c>
      <c r="B215" s="1" t="s">
        <v>14</v>
      </c>
      <c r="C215" s="6">
        <v>26278</v>
      </c>
      <c r="D215" s="6">
        <v>44321</v>
      </c>
      <c r="E215" s="6">
        <v>44847</v>
      </c>
      <c r="F215" s="15" t="str">
        <f t="shared" ca="1" si="31"/>
        <v>1Years5Months8Days</v>
      </c>
      <c r="G215" s="1" t="s">
        <v>25</v>
      </c>
      <c r="H215" s="2">
        <v>27768</v>
      </c>
      <c r="I215" s="7">
        <v>3</v>
      </c>
      <c r="J215" s="7">
        <v>3</v>
      </c>
      <c r="K215" s="7">
        <v>2</v>
      </c>
      <c r="L215" s="7">
        <v>3</v>
      </c>
      <c r="M215" s="7">
        <v>1</v>
      </c>
      <c r="N215" s="1">
        <f t="shared" si="30"/>
        <v>2</v>
      </c>
      <c r="O215" s="1" t="str">
        <f t="shared" si="28"/>
        <v>Meets Expectations</v>
      </c>
    </row>
    <row r="216" spans="1:15" x14ac:dyDescent="0.55000000000000004">
      <c r="A216" s="3">
        <v>1238911215</v>
      </c>
      <c r="B216" s="1" t="s">
        <v>14</v>
      </c>
      <c r="C216" s="6">
        <v>27750</v>
      </c>
      <c r="D216" s="6">
        <v>35755</v>
      </c>
      <c r="E216" s="6"/>
      <c r="F216" s="15" t="str">
        <f t="shared" ca="1" si="31"/>
        <v>28Years5Months22Days</v>
      </c>
      <c r="G216" s="1" t="s">
        <v>31</v>
      </c>
      <c r="H216" s="2">
        <v>31200</v>
      </c>
      <c r="I216" s="7">
        <v>2</v>
      </c>
      <c r="J216" s="7">
        <v>2</v>
      </c>
      <c r="K216" s="7">
        <v>3</v>
      </c>
      <c r="L216" s="7">
        <v>1</v>
      </c>
      <c r="M216" s="7">
        <v>1</v>
      </c>
      <c r="N216" s="1">
        <f t="shared" si="30"/>
        <v>2</v>
      </c>
      <c r="O216" s="1" t="str">
        <f t="shared" si="28"/>
        <v>Meets Expectations</v>
      </c>
    </row>
    <row r="217" spans="1:15" x14ac:dyDescent="0.55000000000000004">
      <c r="A217" s="3">
        <v>1238911216</v>
      </c>
      <c r="B217" s="1" t="s">
        <v>14</v>
      </c>
      <c r="C217" s="6">
        <v>27802</v>
      </c>
      <c r="D217" s="6">
        <v>38149</v>
      </c>
      <c r="E217" s="6"/>
      <c r="F217" s="15" t="str">
        <f t="shared" ca="1" si="31"/>
        <v>21Years11Months2Days</v>
      </c>
      <c r="G217" s="1" t="s">
        <v>32</v>
      </c>
      <c r="H217" s="2">
        <v>30316</v>
      </c>
      <c r="I217" s="7">
        <v>1</v>
      </c>
      <c r="J217" s="7">
        <v>3</v>
      </c>
      <c r="K217" s="7">
        <v>2</v>
      </c>
      <c r="L217" s="7">
        <v>1</v>
      </c>
      <c r="M217" s="7">
        <v>3</v>
      </c>
      <c r="N217" s="1">
        <f t="shared" si="30"/>
        <v>2</v>
      </c>
      <c r="O217" s="1" t="str">
        <f t="shared" si="28"/>
        <v>Meets Expectations</v>
      </c>
    </row>
    <row r="218" spans="1:15" x14ac:dyDescent="0.55000000000000004">
      <c r="A218" s="3">
        <v>1238911217</v>
      </c>
      <c r="B218" s="1" t="s">
        <v>14</v>
      </c>
      <c r="C218" s="6">
        <v>27836</v>
      </c>
      <c r="D218" s="6">
        <v>37417</v>
      </c>
      <c r="E218" s="6"/>
      <c r="F218" s="15" t="str">
        <f t="shared" ca="1" si="31"/>
        <v>23Years11Months3Days</v>
      </c>
      <c r="G218" s="1" t="s">
        <v>13</v>
      </c>
      <c r="H218" s="2">
        <v>27300</v>
      </c>
      <c r="I218" s="7">
        <v>1</v>
      </c>
      <c r="J218" s="7">
        <v>1</v>
      </c>
      <c r="K218" s="7">
        <v>3</v>
      </c>
      <c r="L218" s="7">
        <v>3</v>
      </c>
      <c r="M218" s="7">
        <v>2</v>
      </c>
      <c r="N218" s="1">
        <f t="shared" si="30"/>
        <v>2</v>
      </c>
      <c r="O218" s="1" t="str">
        <f t="shared" si="28"/>
        <v>Meets Expectations</v>
      </c>
    </row>
    <row r="219" spans="1:15" x14ac:dyDescent="0.55000000000000004">
      <c r="A219" s="3">
        <v>1238911218</v>
      </c>
      <c r="B219" s="1" t="s">
        <v>14</v>
      </c>
      <c r="C219" s="6">
        <v>27869</v>
      </c>
      <c r="D219" s="6">
        <v>37065</v>
      </c>
      <c r="E219" s="6"/>
      <c r="F219" s="6"/>
      <c r="G219" s="1" t="s">
        <v>89</v>
      </c>
      <c r="H219" s="2">
        <v>143687.5</v>
      </c>
      <c r="I219" s="7">
        <v>2</v>
      </c>
      <c r="J219" s="7">
        <v>2</v>
      </c>
      <c r="K219" s="7">
        <v>2</v>
      </c>
      <c r="L219" s="7">
        <v>3</v>
      </c>
      <c r="M219" s="7">
        <v>2</v>
      </c>
      <c r="N219" s="1">
        <f t="shared" si="30"/>
        <v>2</v>
      </c>
      <c r="O219" s="1" t="str">
        <f t="shared" si="28"/>
        <v>Meets Expectations</v>
      </c>
    </row>
    <row r="220" spans="1:15" x14ac:dyDescent="0.55000000000000004">
      <c r="A220" s="3">
        <v>1238911219</v>
      </c>
      <c r="B220" s="1" t="s">
        <v>14</v>
      </c>
      <c r="C220" s="6">
        <v>27901</v>
      </c>
      <c r="D220" s="6">
        <v>36509</v>
      </c>
      <c r="E220" s="6"/>
      <c r="F220" s="15" t="str">
        <f ca="1">IF(E220="",DATEDIF(D220,TODAY(),"y")&amp; "Years" &amp;DATEDIF(D220,TODAY(),"ym")&amp; "Months"&amp;DATEDIF(D220,TODAY(),"md") &amp;"Days",DATEDIF(D220,E220,"y")&amp; "Years" &amp;DATEDIF(D220,E220,"ym")&amp; "Months"&amp;DATEDIF(D220,E220,"md") &amp;"Days")</f>
        <v>26Years4Months28Days</v>
      </c>
      <c r="G220" s="1" t="s">
        <v>13</v>
      </c>
      <c r="H220" s="2">
        <v>30966</v>
      </c>
      <c r="I220" s="7">
        <v>1</v>
      </c>
      <c r="J220" s="7">
        <v>3</v>
      </c>
      <c r="K220" s="7">
        <v>3</v>
      </c>
      <c r="L220" s="7">
        <v>2</v>
      </c>
      <c r="M220" s="7">
        <v>2</v>
      </c>
      <c r="N220" s="1">
        <f t="shared" si="30"/>
        <v>2</v>
      </c>
      <c r="O220" s="1" t="str">
        <f t="shared" si="28"/>
        <v>Meets Expectations</v>
      </c>
    </row>
    <row r="221" spans="1:15" x14ac:dyDescent="0.55000000000000004">
      <c r="A221" s="3">
        <v>1238911220</v>
      </c>
      <c r="B221" s="1" t="s">
        <v>14</v>
      </c>
      <c r="C221" s="6">
        <v>27921</v>
      </c>
      <c r="D221" s="6">
        <v>39815</v>
      </c>
      <c r="E221" s="6"/>
      <c r="F221" s="6"/>
      <c r="G221" s="1" t="s">
        <v>90</v>
      </c>
      <c r="H221" s="2">
        <v>71399.899999999994</v>
      </c>
      <c r="I221" s="7">
        <v>2</v>
      </c>
      <c r="J221" s="7">
        <v>3</v>
      </c>
      <c r="K221" s="7">
        <v>1</v>
      </c>
      <c r="L221" s="7">
        <v>2</v>
      </c>
      <c r="M221" s="7">
        <v>2</v>
      </c>
      <c r="N221" s="1">
        <f t="shared" si="30"/>
        <v>2</v>
      </c>
      <c r="O221" s="1" t="str">
        <f t="shared" si="28"/>
        <v>Meets Expectations</v>
      </c>
    </row>
    <row r="222" spans="1:15" x14ac:dyDescent="0.55000000000000004">
      <c r="A222" s="3">
        <v>1238911221</v>
      </c>
      <c r="B222" s="1" t="s">
        <v>12</v>
      </c>
      <c r="C222" s="6">
        <v>27990</v>
      </c>
      <c r="D222" s="6">
        <v>39894</v>
      </c>
      <c r="E222" s="6"/>
      <c r="F222" s="6"/>
      <c r="G222" s="1" t="s">
        <v>91</v>
      </c>
      <c r="H222" s="2">
        <v>51449.399999999994</v>
      </c>
      <c r="I222" s="7">
        <v>1</v>
      </c>
      <c r="J222" s="7">
        <v>1</v>
      </c>
      <c r="K222" s="7">
        <v>1</v>
      </c>
      <c r="L222" s="7">
        <v>1</v>
      </c>
      <c r="M222" s="7">
        <v>2</v>
      </c>
      <c r="N222" s="1">
        <f t="shared" si="30"/>
        <v>1</v>
      </c>
      <c r="O222" s="1" t="str">
        <f t="shared" si="28"/>
        <v>Below Expectations</v>
      </c>
    </row>
    <row r="223" spans="1:15" x14ac:dyDescent="0.55000000000000004">
      <c r="A223" s="3">
        <v>1238911222</v>
      </c>
      <c r="B223" s="1" t="s">
        <v>12</v>
      </c>
      <c r="C223" s="6">
        <v>27993</v>
      </c>
      <c r="D223" s="6">
        <v>40401</v>
      </c>
      <c r="E223" s="6"/>
      <c r="F223" s="6"/>
      <c r="G223" s="1" t="s">
        <v>13</v>
      </c>
      <c r="H223" s="2">
        <v>33826</v>
      </c>
      <c r="I223" s="7">
        <v>3</v>
      </c>
      <c r="J223" s="7">
        <v>2</v>
      </c>
      <c r="K223" s="7">
        <v>3</v>
      </c>
      <c r="L223" s="7">
        <v>2</v>
      </c>
      <c r="M223" s="7">
        <v>1</v>
      </c>
      <c r="N223" s="1">
        <f t="shared" si="30"/>
        <v>2</v>
      </c>
      <c r="O223" s="1" t="str">
        <f t="shared" si="28"/>
        <v>Meets Expectations</v>
      </c>
    </row>
    <row r="224" spans="1:15" x14ac:dyDescent="0.55000000000000004">
      <c r="A224" s="3">
        <v>1238911223</v>
      </c>
      <c r="B224" s="1" t="s">
        <v>14</v>
      </c>
      <c r="C224" s="6">
        <v>26576</v>
      </c>
      <c r="D224" s="6">
        <v>44193</v>
      </c>
      <c r="E224" s="6">
        <v>44568</v>
      </c>
      <c r="F224" s="15" t="str">
        <f t="shared" ref="F224:F226" ca="1" si="32">IF(E224="",DATEDIF(D224,TODAY(),"y")&amp; "Years" &amp;DATEDIF(D224,TODAY(),"ym")&amp; "Months"&amp;DATEDIF(D224,TODAY(),"md") &amp;"Days",DATEDIF(D224,E224,"y")&amp; "Years" &amp;DATEDIF(D224,E224,"ym")&amp; "Months"&amp;DATEDIF(D224,E224,"md") &amp;"Days")</f>
        <v>1Years0Months10Days</v>
      </c>
      <c r="G224" s="1" t="s">
        <v>92</v>
      </c>
      <c r="H224" s="2">
        <v>31407.5</v>
      </c>
      <c r="I224" s="7">
        <v>2</v>
      </c>
      <c r="J224" s="7">
        <v>2</v>
      </c>
      <c r="K224" s="7">
        <v>2</v>
      </c>
      <c r="L224" s="7">
        <v>3</v>
      </c>
      <c r="M224" s="7">
        <v>3</v>
      </c>
      <c r="N224" s="1">
        <f t="shared" si="30"/>
        <v>2</v>
      </c>
      <c r="O224" s="1" t="str">
        <f t="shared" si="28"/>
        <v>Meets Expectations</v>
      </c>
    </row>
    <row r="225" spans="1:15" x14ac:dyDescent="0.55000000000000004">
      <c r="A225" s="3">
        <v>1238911224</v>
      </c>
      <c r="B225" s="1" t="s">
        <v>14</v>
      </c>
      <c r="C225" s="6">
        <v>28051</v>
      </c>
      <c r="D225" s="6">
        <v>38664</v>
      </c>
      <c r="E225" s="6"/>
      <c r="F225" s="15" t="str">
        <f t="shared" ca="1" si="32"/>
        <v>20Years6Months5Days</v>
      </c>
      <c r="G225" s="1" t="s">
        <v>44</v>
      </c>
      <c r="H225" s="2">
        <v>28838.75</v>
      </c>
      <c r="I225" s="7">
        <v>3</v>
      </c>
      <c r="J225" s="7">
        <v>2</v>
      </c>
      <c r="K225" s="7">
        <v>1</v>
      </c>
      <c r="L225" s="7">
        <v>3</v>
      </c>
      <c r="M225" s="7">
        <v>3</v>
      </c>
      <c r="N225" s="1">
        <f t="shared" si="30"/>
        <v>2</v>
      </c>
      <c r="O225" s="1" t="str">
        <f t="shared" si="28"/>
        <v>Meets Expectations</v>
      </c>
    </row>
    <row r="226" spans="1:15" x14ac:dyDescent="0.55000000000000004">
      <c r="A226" s="3">
        <v>1238911225</v>
      </c>
      <c r="B226" s="1" t="s">
        <v>14</v>
      </c>
      <c r="C226" s="6">
        <v>28051</v>
      </c>
      <c r="D226" s="6">
        <v>44487</v>
      </c>
      <c r="E226" s="6">
        <v>44981</v>
      </c>
      <c r="F226" s="15" t="str">
        <f t="shared" ca="1" si="32"/>
        <v>1Years4Months6Days</v>
      </c>
      <c r="G226" s="1" t="s">
        <v>44</v>
      </c>
      <c r="H226" s="2">
        <v>28838.75</v>
      </c>
      <c r="I226" s="7">
        <v>1</v>
      </c>
      <c r="J226" s="7">
        <v>1</v>
      </c>
      <c r="K226" s="7">
        <v>2</v>
      </c>
      <c r="L226" s="7">
        <v>2</v>
      </c>
      <c r="M226" s="7">
        <v>2</v>
      </c>
      <c r="N226" s="1">
        <f t="shared" si="30"/>
        <v>2</v>
      </c>
      <c r="O226" s="1" t="str">
        <f t="shared" si="28"/>
        <v>Meets Expectations</v>
      </c>
    </row>
    <row r="227" spans="1:15" x14ac:dyDescent="0.55000000000000004">
      <c r="A227" s="3">
        <v>1238911226</v>
      </c>
      <c r="B227" s="1" t="s">
        <v>12</v>
      </c>
      <c r="C227" s="6">
        <v>28052</v>
      </c>
      <c r="D227" s="6">
        <v>39568</v>
      </c>
      <c r="E227" s="6"/>
      <c r="F227" s="6"/>
      <c r="G227" s="1" t="s">
        <v>93</v>
      </c>
      <c r="H227" s="2">
        <v>260100.09999999998</v>
      </c>
      <c r="I227" s="7">
        <v>2</v>
      </c>
      <c r="J227" s="7">
        <v>2</v>
      </c>
      <c r="K227" s="7">
        <v>2</v>
      </c>
      <c r="L227" s="7">
        <v>3</v>
      </c>
      <c r="M227" s="7">
        <v>2</v>
      </c>
      <c r="N227" s="1">
        <f t="shared" si="30"/>
        <v>2</v>
      </c>
      <c r="O227" s="1" t="str">
        <f t="shared" si="28"/>
        <v>Meets Expectations</v>
      </c>
    </row>
    <row r="228" spans="1:15" x14ac:dyDescent="0.55000000000000004">
      <c r="A228" s="3">
        <v>1238911227</v>
      </c>
      <c r="B228" s="1" t="s">
        <v>14</v>
      </c>
      <c r="C228" s="6">
        <v>28067</v>
      </c>
      <c r="D228" s="6">
        <v>35993</v>
      </c>
      <c r="E228" s="6"/>
      <c r="F228" s="15" t="str">
        <f ca="1">IF(E228="",DATEDIF(D228,TODAY(),"y")&amp; "Years" &amp;DATEDIF(D228,TODAY(),"ym")&amp; "Months"&amp;DATEDIF(D228,TODAY(),"md") &amp;"Days",DATEDIF(D228,E228,"y")&amp; "Years" &amp;DATEDIF(D228,E228,"ym")&amp; "Months"&amp;DATEDIF(D228,E228,"md") &amp;"Days")</f>
        <v>27Years9Months26Days</v>
      </c>
      <c r="G228" s="1" t="s">
        <v>25</v>
      </c>
      <c r="H228" s="2">
        <v>27768</v>
      </c>
      <c r="I228" s="7">
        <v>2</v>
      </c>
      <c r="J228" s="7">
        <v>3</v>
      </c>
      <c r="K228" s="7">
        <v>3</v>
      </c>
      <c r="L228" s="7">
        <v>1</v>
      </c>
      <c r="M228" s="7">
        <v>3</v>
      </c>
      <c r="N228" s="1">
        <f t="shared" si="30"/>
        <v>2</v>
      </c>
      <c r="O228" s="1" t="str">
        <f t="shared" si="28"/>
        <v>Meets Expectations</v>
      </c>
    </row>
    <row r="229" spans="1:15" x14ac:dyDescent="0.55000000000000004">
      <c r="A229" s="3">
        <v>1238911228</v>
      </c>
      <c r="B229" s="1" t="s">
        <v>12</v>
      </c>
      <c r="C229" s="6">
        <v>28154</v>
      </c>
      <c r="D229" s="6">
        <v>40951</v>
      </c>
      <c r="E229" s="6">
        <v>41812</v>
      </c>
      <c r="F229" s="6"/>
      <c r="G229" s="1" t="s">
        <v>13</v>
      </c>
      <c r="H229" s="2">
        <v>29510</v>
      </c>
      <c r="I229" s="7">
        <v>2</v>
      </c>
      <c r="J229" s="7">
        <v>1</v>
      </c>
      <c r="K229" s="7">
        <v>2</v>
      </c>
      <c r="L229" s="7">
        <v>3</v>
      </c>
      <c r="M229" s="7">
        <v>2</v>
      </c>
      <c r="N229" s="1">
        <f t="shared" si="30"/>
        <v>2</v>
      </c>
      <c r="O229" s="1" t="str">
        <f t="shared" si="28"/>
        <v>Meets Expectations</v>
      </c>
    </row>
    <row r="230" spans="1:15" x14ac:dyDescent="0.55000000000000004">
      <c r="A230" s="3">
        <v>1238911229</v>
      </c>
      <c r="B230" s="1" t="s">
        <v>14</v>
      </c>
      <c r="C230" s="6">
        <v>28159</v>
      </c>
      <c r="D230" s="6">
        <v>37854</v>
      </c>
      <c r="E230" s="6"/>
      <c r="F230" s="15" t="str">
        <f ca="1">IF(E230="",DATEDIF(D230,TODAY(),"y")&amp; "Years" &amp;DATEDIF(D230,TODAY(),"ym")&amp; "Months"&amp;DATEDIF(D230,TODAY(),"md") &amp;"Days",DATEDIF(D230,E230,"y")&amp; "Years" &amp;DATEDIF(D230,E230,"ym")&amp; "Months"&amp;DATEDIF(D230,E230,"md") &amp;"Days")</f>
        <v>22Years8Months22Days</v>
      </c>
      <c r="G230" s="1" t="s">
        <v>32</v>
      </c>
      <c r="H230" s="2">
        <v>26137.5</v>
      </c>
      <c r="I230" s="7">
        <v>2</v>
      </c>
      <c r="J230" s="7">
        <v>2</v>
      </c>
      <c r="K230" s="7">
        <v>1</v>
      </c>
      <c r="L230" s="7">
        <v>2</v>
      </c>
      <c r="M230" s="7">
        <v>2</v>
      </c>
      <c r="N230" s="1">
        <f t="shared" si="30"/>
        <v>2</v>
      </c>
      <c r="O230" s="1" t="str">
        <f t="shared" si="28"/>
        <v>Meets Expectations</v>
      </c>
    </row>
    <row r="231" spans="1:15" x14ac:dyDescent="0.55000000000000004">
      <c r="A231" s="3">
        <v>1238911230</v>
      </c>
      <c r="B231" s="1" t="s">
        <v>14</v>
      </c>
      <c r="C231" s="6">
        <v>28167</v>
      </c>
      <c r="D231" s="6">
        <v>39974</v>
      </c>
      <c r="E231" s="6"/>
      <c r="F231" s="6"/>
      <c r="G231" s="1" t="s">
        <v>74</v>
      </c>
      <c r="H231" s="2">
        <v>51506</v>
      </c>
      <c r="I231" s="7">
        <v>1</v>
      </c>
      <c r="J231" s="7">
        <v>3</v>
      </c>
      <c r="K231" s="7">
        <v>2</v>
      </c>
      <c r="L231" s="7">
        <v>1</v>
      </c>
      <c r="M231" s="7">
        <v>3</v>
      </c>
      <c r="N231" s="1">
        <f t="shared" si="30"/>
        <v>2</v>
      </c>
      <c r="O231" s="1" t="str">
        <f t="shared" si="28"/>
        <v>Meets Expectations</v>
      </c>
    </row>
    <row r="232" spans="1:15" x14ac:dyDescent="0.55000000000000004">
      <c r="A232" s="3">
        <v>1238911231</v>
      </c>
      <c r="B232" s="1" t="s">
        <v>14</v>
      </c>
      <c r="C232" s="6">
        <v>28168</v>
      </c>
      <c r="D232" s="6">
        <v>35554</v>
      </c>
      <c r="E232" s="6"/>
      <c r="F232" s="15" t="str">
        <f ca="1">IF(E232="",DATEDIF(D232,TODAY(),"y")&amp; "Years" &amp;DATEDIF(D232,TODAY(),"ym")&amp; "Months"&amp;DATEDIF(D232,TODAY(),"md") &amp;"Days",DATEDIF(D232,E232,"y")&amp; "Years" &amp;DATEDIF(D232,E232,"ym")&amp; "Months"&amp;DATEDIF(D232,E232,"md") &amp;"Days")</f>
        <v>29Years0Months9Days</v>
      </c>
      <c r="G232" s="1" t="s">
        <v>80</v>
      </c>
      <c r="H232" s="2">
        <v>39371.25</v>
      </c>
      <c r="I232" s="7">
        <v>3</v>
      </c>
      <c r="J232" s="7">
        <v>2</v>
      </c>
      <c r="K232" s="7">
        <v>1</v>
      </c>
      <c r="L232" s="7">
        <v>3</v>
      </c>
      <c r="M232" s="7">
        <v>1</v>
      </c>
      <c r="N232" s="1">
        <f t="shared" si="30"/>
        <v>2</v>
      </c>
      <c r="O232" s="1" t="str">
        <f t="shared" si="28"/>
        <v>Meets Expectations</v>
      </c>
    </row>
    <row r="233" spans="1:15" x14ac:dyDescent="0.55000000000000004">
      <c r="A233" s="3">
        <v>1238911232</v>
      </c>
      <c r="B233" s="1" t="s">
        <v>12</v>
      </c>
      <c r="C233" s="6">
        <v>28173</v>
      </c>
      <c r="D233" s="6">
        <v>35755</v>
      </c>
      <c r="E233" s="6"/>
      <c r="F233" s="6"/>
      <c r="G233" s="1" t="s">
        <v>94</v>
      </c>
      <c r="H233" s="2">
        <v>163363.20000000001</v>
      </c>
      <c r="I233" s="7">
        <v>2</v>
      </c>
      <c r="J233" s="7">
        <v>2</v>
      </c>
      <c r="K233" s="7">
        <v>2</v>
      </c>
      <c r="L233" s="7">
        <v>2</v>
      </c>
      <c r="M233" s="7">
        <v>2</v>
      </c>
      <c r="N233" s="1">
        <f t="shared" si="30"/>
        <v>2</v>
      </c>
      <c r="O233" s="1" t="str">
        <f t="shared" si="28"/>
        <v>Meets Expectations</v>
      </c>
    </row>
    <row r="234" spans="1:15" x14ac:dyDescent="0.55000000000000004">
      <c r="A234" s="3">
        <v>1238911233</v>
      </c>
      <c r="B234" s="1" t="s">
        <v>14</v>
      </c>
      <c r="C234" s="6">
        <v>28177</v>
      </c>
      <c r="D234" s="6">
        <v>38149</v>
      </c>
      <c r="E234" s="6"/>
      <c r="F234" s="6"/>
      <c r="G234" s="1" t="s">
        <v>95</v>
      </c>
      <c r="H234" s="2">
        <v>167187.47500000001</v>
      </c>
      <c r="I234" s="7">
        <v>2</v>
      </c>
      <c r="J234" s="7">
        <v>2</v>
      </c>
      <c r="K234" s="7">
        <v>2</v>
      </c>
      <c r="L234" s="7">
        <v>2</v>
      </c>
      <c r="M234" s="7">
        <v>3</v>
      </c>
      <c r="N234" s="1">
        <f t="shared" si="30"/>
        <v>2</v>
      </c>
      <c r="O234" s="1" t="str">
        <f t="shared" si="28"/>
        <v>Meets Expectations</v>
      </c>
    </row>
    <row r="235" spans="1:15" x14ac:dyDescent="0.55000000000000004">
      <c r="A235" s="3">
        <v>1238911234</v>
      </c>
      <c r="B235" s="1" t="s">
        <v>14</v>
      </c>
      <c r="C235" s="6">
        <v>28195</v>
      </c>
      <c r="D235" s="6">
        <v>43991</v>
      </c>
      <c r="E235" s="6">
        <v>44399</v>
      </c>
      <c r="F235" s="15" t="str">
        <f t="shared" ref="F235:F236" ca="1" si="33">IF(E235="",DATEDIF(D235,TODAY(),"y")&amp; "Years" &amp;DATEDIF(D235,TODAY(),"ym")&amp; "Months"&amp;DATEDIF(D235,TODAY(),"md") &amp;"Days",DATEDIF(D235,E235,"y")&amp; "Years" &amp;DATEDIF(D235,E235,"ym")&amp; "Months"&amp;DATEDIF(D235,E235,"md") &amp;"Days")</f>
        <v>1Years1Months13Days</v>
      </c>
      <c r="G235" s="1" t="s">
        <v>96</v>
      </c>
      <c r="H235" s="2">
        <v>33566.25</v>
      </c>
      <c r="I235" s="7">
        <v>1</v>
      </c>
      <c r="J235" s="7">
        <v>2</v>
      </c>
      <c r="K235" s="7">
        <v>3</v>
      </c>
      <c r="L235" s="7">
        <v>1</v>
      </c>
      <c r="M235" s="7">
        <v>2</v>
      </c>
      <c r="N235" s="1">
        <f t="shared" si="30"/>
        <v>2</v>
      </c>
      <c r="O235" s="1" t="str">
        <f t="shared" si="28"/>
        <v>Meets Expectations</v>
      </c>
    </row>
    <row r="236" spans="1:15" x14ac:dyDescent="0.55000000000000004">
      <c r="A236" s="3">
        <v>1238911235</v>
      </c>
      <c r="B236" s="1" t="s">
        <v>14</v>
      </c>
      <c r="C236" s="6">
        <v>28231</v>
      </c>
      <c r="D236" s="6">
        <v>45100</v>
      </c>
      <c r="E236" s="6">
        <v>45735</v>
      </c>
      <c r="F236" s="15" t="str">
        <f t="shared" ca="1" si="33"/>
        <v>1Years8Months24Days</v>
      </c>
      <c r="G236" s="1" t="s">
        <v>13</v>
      </c>
      <c r="H236" s="2">
        <v>28600</v>
      </c>
      <c r="I236" s="7">
        <v>1</v>
      </c>
      <c r="J236" s="7">
        <v>3</v>
      </c>
      <c r="K236" s="7">
        <v>2</v>
      </c>
      <c r="L236" s="7">
        <v>3</v>
      </c>
      <c r="M236" s="7">
        <v>3</v>
      </c>
      <c r="N236" s="1">
        <f t="shared" si="30"/>
        <v>2</v>
      </c>
      <c r="O236" s="1" t="str">
        <f t="shared" si="28"/>
        <v>Meets Expectations</v>
      </c>
    </row>
    <row r="237" spans="1:15" x14ac:dyDescent="0.55000000000000004">
      <c r="A237" s="3">
        <v>1238911236</v>
      </c>
      <c r="B237" s="1" t="s">
        <v>12</v>
      </c>
      <c r="C237" s="6">
        <v>28243</v>
      </c>
      <c r="D237" s="6">
        <v>36509</v>
      </c>
      <c r="E237" s="6"/>
      <c r="F237" s="6"/>
      <c r="G237" s="1" t="s">
        <v>13</v>
      </c>
      <c r="H237" s="2">
        <v>31902</v>
      </c>
      <c r="I237" s="7">
        <v>3</v>
      </c>
      <c r="J237" s="7">
        <v>2</v>
      </c>
      <c r="K237" s="7">
        <v>3</v>
      </c>
      <c r="L237" s="7">
        <v>3</v>
      </c>
      <c r="M237" s="7">
        <v>3</v>
      </c>
      <c r="N237" s="1">
        <f t="shared" si="30"/>
        <v>3</v>
      </c>
      <c r="O237" s="1" t="str">
        <f t="shared" si="28"/>
        <v>Exceeds Expectations</v>
      </c>
    </row>
    <row r="238" spans="1:15" x14ac:dyDescent="0.55000000000000004">
      <c r="A238" s="3">
        <v>1238911237</v>
      </c>
      <c r="B238" s="1" t="s">
        <v>12</v>
      </c>
      <c r="C238" s="6">
        <v>28311</v>
      </c>
      <c r="D238" s="6">
        <v>39894</v>
      </c>
      <c r="E238" s="6"/>
      <c r="F238" s="6"/>
      <c r="G238" s="1" t="s">
        <v>97</v>
      </c>
      <c r="H238" s="2">
        <v>143771.875</v>
      </c>
      <c r="I238" s="7">
        <v>3</v>
      </c>
      <c r="J238" s="7">
        <v>3</v>
      </c>
      <c r="K238" s="7">
        <v>2</v>
      </c>
      <c r="L238" s="7">
        <v>2</v>
      </c>
      <c r="M238" s="7">
        <v>2</v>
      </c>
      <c r="N238" s="1">
        <f t="shared" si="30"/>
        <v>2</v>
      </c>
      <c r="O238" s="1" t="str">
        <f t="shared" si="28"/>
        <v>Meets Expectations</v>
      </c>
    </row>
    <row r="239" spans="1:15" x14ac:dyDescent="0.55000000000000004">
      <c r="A239" s="3">
        <v>1238911238</v>
      </c>
      <c r="B239" s="1" t="s">
        <v>12</v>
      </c>
      <c r="C239" s="6">
        <v>28335</v>
      </c>
      <c r="D239" s="6">
        <v>40401</v>
      </c>
      <c r="E239" s="6"/>
      <c r="F239" s="6"/>
      <c r="G239" s="1" t="s">
        <v>43</v>
      </c>
      <c r="H239" s="2">
        <v>31616</v>
      </c>
      <c r="I239" s="7">
        <v>1</v>
      </c>
      <c r="J239" s="7">
        <v>3</v>
      </c>
      <c r="K239" s="7">
        <v>3</v>
      </c>
      <c r="L239" s="7">
        <v>3</v>
      </c>
      <c r="M239" s="7">
        <v>3</v>
      </c>
      <c r="N239" s="1">
        <f t="shared" si="30"/>
        <v>3</v>
      </c>
      <c r="O239" s="1" t="str">
        <f t="shared" si="28"/>
        <v>Exceeds Expectations</v>
      </c>
    </row>
    <row r="240" spans="1:15" x14ac:dyDescent="0.55000000000000004">
      <c r="A240" s="3">
        <v>1238911239</v>
      </c>
      <c r="B240" s="1" t="s">
        <v>12</v>
      </c>
      <c r="C240" s="6">
        <v>28423</v>
      </c>
      <c r="D240" s="6">
        <v>36157</v>
      </c>
      <c r="E240" s="6"/>
      <c r="F240" s="6"/>
      <c r="G240" s="1" t="s">
        <v>98</v>
      </c>
      <c r="H240" s="2">
        <v>62500</v>
      </c>
      <c r="I240" s="7">
        <v>2</v>
      </c>
      <c r="J240" s="7">
        <v>2</v>
      </c>
      <c r="K240" s="7">
        <v>2</v>
      </c>
      <c r="L240" s="7">
        <v>3</v>
      </c>
      <c r="M240" s="7">
        <v>3</v>
      </c>
      <c r="N240" s="1">
        <f t="shared" si="30"/>
        <v>2</v>
      </c>
      <c r="O240" s="1" t="str">
        <f t="shared" si="28"/>
        <v>Meets Expectations</v>
      </c>
    </row>
    <row r="241" spans="1:15" x14ac:dyDescent="0.55000000000000004">
      <c r="A241" s="3">
        <v>1238911240</v>
      </c>
      <c r="B241" s="1" t="s">
        <v>12</v>
      </c>
      <c r="C241" s="6">
        <v>28440</v>
      </c>
      <c r="D241" s="6">
        <v>38664</v>
      </c>
      <c r="E241" s="6"/>
      <c r="F241" s="6"/>
      <c r="G241" s="1" t="s">
        <v>13</v>
      </c>
      <c r="H241" s="2">
        <v>27300</v>
      </c>
      <c r="I241" s="7">
        <v>2</v>
      </c>
      <c r="J241" s="7">
        <v>2</v>
      </c>
      <c r="K241" s="7">
        <v>1</v>
      </c>
      <c r="L241" s="7">
        <v>3</v>
      </c>
      <c r="M241" s="7">
        <v>1</v>
      </c>
      <c r="N241" s="1">
        <f t="shared" si="30"/>
        <v>2</v>
      </c>
      <c r="O241" s="1" t="str">
        <f t="shared" si="28"/>
        <v>Meets Expectations</v>
      </c>
    </row>
    <row r="242" spans="1:15" x14ac:dyDescent="0.55000000000000004">
      <c r="A242" s="3">
        <v>1238911241</v>
      </c>
      <c r="B242" s="1" t="s">
        <v>14</v>
      </c>
      <c r="C242" s="6">
        <v>28443</v>
      </c>
      <c r="D242" s="6">
        <v>37547</v>
      </c>
      <c r="E242" s="6"/>
      <c r="F242" s="15" t="str">
        <f t="shared" ref="F242:F243" ca="1" si="34">IF(E242="",DATEDIF(D242,TODAY(),"y")&amp; "Years" &amp;DATEDIF(D242,TODAY(),"ym")&amp; "Months"&amp;DATEDIF(D242,TODAY(),"md") &amp;"Days",DATEDIF(D242,E242,"y")&amp; "Years" &amp;DATEDIF(D242,E242,"ym")&amp; "Months"&amp;DATEDIF(D242,E242,"md") &amp;"Days")</f>
        <v>23Years6Months25Days</v>
      </c>
      <c r="G242" s="1" t="s">
        <v>13</v>
      </c>
      <c r="H242" s="2">
        <v>28652</v>
      </c>
      <c r="I242" s="7">
        <v>1</v>
      </c>
      <c r="J242" s="7">
        <v>3</v>
      </c>
      <c r="K242" s="7">
        <v>2</v>
      </c>
      <c r="L242" s="7">
        <v>3</v>
      </c>
      <c r="M242" s="7">
        <v>1</v>
      </c>
      <c r="N242" s="1">
        <f t="shared" si="30"/>
        <v>2</v>
      </c>
      <c r="O242" s="1" t="str">
        <f t="shared" si="28"/>
        <v>Meets Expectations</v>
      </c>
    </row>
    <row r="243" spans="1:15" x14ac:dyDescent="0.55000000000000004">
      <c r="A243" s="3">
        <v>1238911242</v>
      </c>
      <c r="B243" s="1" t="s">
        <v>14</v>
      </c>
      <c r="C243" s="6">
        <v>28443</v>
      </c>
      <c r="D243" s="6">
        <v>35993</v>
      </c>
      <c r="E243" s="6"/>
      <c r="F243" s="15" t="str">
        <f t="shared" ca="1" si="34"/>
        <v>27Years9Months26Days</v>
      </c>
      <c r="G243" s="1" t="s">
        <v>13</v>
      </c>
      <c r="H243" s="2">
        <v>28652</v>
      </c>
      <c r="I243" s="7">
        <v>2</v>
      </c>
      <c r="J243" s="7">
        <v>1</v>
      </c>
      <c r="K243" s="7">
        <v>1</v>
      </c>
      <c r="L243" s="7">
        <v>3</v>
      </c>
      <c r="M243" s="7">
        <v>2</v>
      </c>
      <c r="N243" s="1">
        <f t="shared" si="30"/>
        <v>2</v>
      </c>
      <c r="O243" s="1" t="str">
        <f t="shared" si="28"/>
        <v>Meets Expectations</v>
      </c>
    </row>
    <row r="244" spans="1:15" x14ac:dyDescent="0.55000000000000004">
      <c r="A244" s="3">
        <v>1238911243</v>
      </c>
      <c r="B244" s="1" t="s">
        <v>12</v>
      </c>
      <c r="C244" s="6">
        <v>28447</v>
      </c>
      <c r="D244" s="6">
        <v>36933</v>
      </c>
      <c r="E244" s="6"/>
      <c r="F244" s="6"/>
      <c r="G244" s="1" t="s">
        <v>99</v>
      </c>
      <c r="H244" s="2">
        <v>125048.3</v>
      </c>
      <c r="I244" s="7">
        <v>3</v>
      </c>
      <c r="J244" s="7">
        <v>2</v>
      </c>
      <c r="K244" s="7">
        <v>3</v>
      </c>
      <c r="L244" s="7">
        <v>2</v>
      </c>
      <c r="M244" s="7">
        <v>2</v>
      </c>
      <c r="N244" s="1">
        <f t="shared" si="30"/>
        <v>2</v>
      </c>
      <c r="O244" s="1" t="str">
        <f t="shared" si="28"/>
        <v>Meets Expectations</v>
      </c>
    </row>
    <row r="245" spans="1:15" x14ac:dyDescent="0.55000000000000004">
      <c r="A245" s="3">
        <v>1238911244</v>
      </c>
      <c r="B245" s="1" t="s">
        <v>12</v>
      </c>
      <c r="C245" s="6">
        <v>28482</v>
      </c>
      <c r="D245" s="6">
        <v>37854</v>
      </c>
      <c r="E245" s="6"/>
      <c r="F245" s="6"/>
      <c r="G245" s="1" t="s">
        <v>100</v>
      </c>
      <c r="H245" s="2">
        <v>89294.725000000006</v>
      </c>
      <c r="I245" s="7">
        <v>3</v>
      </c>
      <c r="J245" s="7">
        <v>3</v>
      </c>
      <c r="K245" s="7">
        <v>2</v>
      </c>
      <c r="L245" s="7">
        <v>2</v>
      </c>
      <c r="M245" s="7">
        <v>1</v>
      </c>
      <c r="N245" s="1">
        <f t="shared" si="30"/>
        <v>2</v>
      </c>
      <c r="O245" s="1" t="str">
        <f t="shared" si="28"/>
        <v>Meets Expectations</v>
      </c>
    </row>
    <row r="246" spans="1:15" x14ac:dyDescent="0.55000000000000004">
      <c r="A246" s="3">
        <v>1238911245</v>
      </c>
      <c r="B246" s="1" t="s">
        <v>12</v>
      </c>
      <c r="C246" s="6">
        <v>28482</v>
      </c>
      <c r="D246" s="6">
        <v>39974</v>
      </c>
      <c r="E246" s="6"/>
      <c r="F246" s="6"/>
      <c r="G246" s="1" t="s">
        <v>100</v>
      </c>
      <c r="H246" s="2">
        <v>89294.725000000006</v>
      </c>
      <c r="I246" s="7">
        <v>3</v>
      </c>
      <c r="J246" s="7">
        <v>2</v>
      </c>
      <c r="K246" s="7">
        <v>3</v>
      </c>
      <c r="L246" s="7">
        <v>3</v>
      </c>
      <c r="M246" s="7">
        <v>3</v>
      </c>
      <c r="N246" s="1">
        <f t="shared" si="30"/>
        <v>3</v>
      </c>
      <c r="O246" s="1" t="str">
        <f t="shared" si="28"/>
        <v>Exceeds Expectations</v>
      </c>
    </row>
    <row r="247" spans="1:15" x14ac:dyDescent="0.55000000000000004">
      <c r="A247" s="3">
        <v>1238911246</v>
      </c>
      <c r="B247" s="1" t="s">
        <v>12</v>
      </c>
      <c r="C247" s="6">
        <v>28535</v>
      </c>
      <c r="D247" s="6">
        <v>39937</v>
      </c>
      <c r="E247" s="6"/>
      <c r="F247" s="6"/>
      <c r="G247" s="1" t="s">
        <v>101</v>
      </c>
      <c r="H247" s="2">
        <v>262650.05</v>
      </c>
      <c r="I247" s="7">
        <v>2</v>
      </c>
      <c r="J247" s="7">
        <v>2</v>
      </c>
      <c r="K247" s="7">
        <v>3</v>
      </c>
      <c r="L247" s="7">
        <v>2</v>
      </c>
      <c r="M247" s="7">
        <v>3</v>
      </c>
      <c r="N247" s="1">
        <f t="shared" si="30"/>
        <v>2</v>
      </c>
      <c r="O247" s="1" t="str">
        <f t="shared" si="28"/>
        <v>Meets Expectations</v>
      </c>
    </row>
    <row r="248" spans="1:15" x14ac:dyDescent="0.55000000000000004">
      <c r="A248" s="3">
        <v>1238911247</v>
      </c>
      <c r="B248" s="1" t="s">
        <v>12</v>
      </c>
      <c r="C248" s="6">
        <v>28581</v>
      </c>
      <c r="D248" s="6">
        <v>40138</v>
      </c>
      <c r="E248" s="6"/>
      <c r="F248" s="6"/>
      <c r="G248" s="1" t="s">
        <v>102</v>
      </c>
      <c r="H248" s="2">
        <v>94141.25</v>
      </c>
      <c r="I248" s="7">
        <v>3</v>
      </c>
      <c r="J248" s="7">
        <v>2</v>
      </c>
      <c r="K248" s="7">
        <v>1</v>
      </c>
      <c r="L248" s="7">
        <v>3</v>
      </c>
      <c r="M248" s="7">
        <v>3</v>
      </c>
      <c r="N248" s="1">
        <f t="shared" si="30"/>
        <v>2</v>
      </c>
      <c r="O248" s="1" t="str">
        <f t="shared" si="28"/>
        <v>Meets Expectations</v>
      </c>
    </row>
    <row r="249" spans="1:15" x14ac:dyDescent="0.55000000000000004">
      <c r="A249" s="3">
        <v>1238911248</v>
      </c>
      <c r="B249" s="1" t="s">
        <v>14</v>
      </c>
      <c r="C249" s="6">
        <v>28603</v>
      </c>
      <c r="D249" s="6">
        <v>38149</v>
      </c>
      <c r="E249" s="6"/>
      <c r="F249" s="15" t="str">
        <f ca="1">IF(E249="",DATEDIF(D249,TODAY(),"y")&amp; "Years" &amp;DATEDIF(D249,TODAY(),"ym")&amp; "Months"&amp;DATEDIF(D249,TODAY(),"md") &amp;"Days",DATEDIF(D249,E249,"y")&amp; "Years" &amp;DATEDIF(D249,E249,"ym")&amp; "Months"&amp;DATEDIF(D249,E249,"md") &amp;"Days")</f>
        <v>21Years11Months2Days</v>
      </c>
      <c r="G249" s="1" t="s">
        <v>103</v>
      </c>
      <c r="H249" s="2">
        <v>39390</v>
      </c>
      <c r="I249" s="7">
        <v>2</v>
      </c>
      <c r="J249" s="7">
        <v>3</v>
      </c>
      <c r="K249" s="7">
        <v>2</v>
      </c>
      <c r="L249" s="7">
        <v>3</v>
      </c>
      <c r="M249" s="7">
        <v>1</v>
      </c>
      <c r="N249" s="1">
        <f t="shared" si="30"/>
        <v>2</v>
      </c>
      <c r="O249" s="1" t="str">
        <f t="shared" si="28"/>
        <v>Meets Expectations</v>
      </c>
    </row>
    <row r="250" spans="1:15" x14ac:dyDescent="0.55000000000000004">
      <c r="A250" s="3">
        <v>1238911249</v>
      </c>
      <c r="B250" s="1" t="s">
        <v>12</v>
      </c>
      <c r="C250" s="6">
        <v>28621</v>
      </c>
      <c r="D250" s="6">
        <v>37417</v>
      </c>
      <c r="E250" s="6"/>
      <c r="F250" s="6"/>
      <c r="G250" s="1" t="s">
        <v>59</v>
      </c>
      <c r="H250" s="2">
        <v>67600</v>
      </c>
      <c r="I250" s="7">
        <v>1</v>
      </c>
      <c r="J250" s="7">
        <v>2</v>
      </c>
      <c r="K250" s="7">
        <v>3</v>
      </c>
      <c r="L250" s="7">
        <v>2</v>
      </c>
      <c r="M250" s="7">
        <v>1</v>
      </c>
      <c r="N250" s="1">
        <f t="shared" si="30"/>
        <v>2</v>
      </c>
      <c r="O250" s="1" t="str">
        <f t="shared" si="28"/>
        <v>Meets Expectations</v>
      </c>
    </row>
    <row r="251" spans="1:15" x14ac:dyDescent="0.55000000000000004">
      <c r="A251" s="3">
        <v>1238911250</v>
      </c>
      <c r="B251" s="1" t="s">
        <v>14</v>
      </c>
      <c r="C251" s="6">
        <v>28639</v>
      </c>
      <c r="D251" s="6">
        <v>40717</v>
      </c>
      <c r="E251" s="6">
        <v>42546</v>
      </c>
      <c r="F251" s="6"/>
      <c r="G251" s="1" t="s">
        <v>104</v>
      </c>
      <c r="H251" s="2">
        <v>90410.774999999994</v>
      </c>
      <c r="I251" s="7">
        <v>3</v>
      </c>
      <c r="J251" s="7">
        <v>1</v>
      </c>
      <c r="K251" s="7">
        <v>2</v>
      </c>
      <c r="L251" s="7">
        <v>3</v>
      </c>
      <c r="M251" s="7">
        <v>2</v>
      </c>
      <c r="N251" s="1">
        <f t="shared" si="30"/>
        <v>2</v>
      </c>
      <c r="O251" s="1" t="str">
        <f t="shared" si="28"/>
        <v>Meets Expectations</v>
      </c>
    </row>
    <row r="252" spans="1:15" x14ac:dyDescent="0.55000000000000004">
      <c r="A252" s="3">
        <v>1238911251</v>
      </c>
      <c r="B252" s="1" t="s">
        <v>12</v>
      </c>
      <c r="C252" s="6">
        <v>28717</v>
      </c>
      <c r="D252" s="6">
        <v>36509</v>
      </c>
      <c r="E252" s="6"/>
      <c r="F252" s="6"/>
      <c r="G252" s="1" t="s">
        <v>105</v>
      </c>
      <c r="H252" s="2">
        <v>62500</v>
      </c>
      <c r="I252" s="7">
        <v>3</v>
      </c>
      <c r="J252" s="7">
        <v>2</v>
      </c>
      <c r="K252" s="7">
        <v>3</v>
      </c>
      <c r="L252" s="7">
        <v>3</v>
      </c>
      <c r="M252" s="7">
        <v>2</v>
      </c>
      <c r="N252" s="1">
        <f t="shared" si="30"/>
        <v>3</v>
      </c>
      <c r="O252" s="1" t="str">
        <f t="shared" si="28"/>
        <v>Exceeds Expectations</v>
      </c>
    </row>
    <row r="253" spans="1:15" x14ac:dyDescent="0.55000000000000004">
      <c r="A253" s="3">
        <v>1238911252</v>
      </c>
      <c r="B253" s="1" t="s">
        <v>14</v>
      </c>
      <c r="C253" s="6">
        <v>28722</v>
      </c>
      <c r="D253" s="6">
        <v>39815</v>
      </c>
      <c r="E253" s="6"/>
      <c r="F253" s="6"/>
      <c r="G253" s="1" t="s">
        <v>106</v>
      </c>
      <c r="H253" s="2">
        <v>231875</v>
      </c>
      <c r="I253" s="7">
        <v>3</v>
      </c>
      <c r="J253" s="7">
        <v>2</v>
      </c>
      <c r="K253" s="7">
        <v>2</v>
      </c>
      <c r="L253" s="7">
        <v>2</v>
      </c>
      <c r="M253" s="7">
        <v>3</v>
      </c>
      <c r="N253" s="1">
        <f t="shared" si="30"/>
        <v>2</v>
      </c>
      <c r="O253" s="1" t="str">
        <f t="shared" si="28"/>
        <v>Meets Expectations</v>
      </c>
    </row>
    <row r="254" spans="1:15" x14ac:dyDescent="0.55000000000000004">
      <c r="A254" s="3">
        <v>1238911253</v>
      </c>
      <c r="B254" s="1" t="s">
        <v>14</v>
      </c>
      <c r="C254" s="6">
        <v>28744</v>
      </c>
      <c r="D254" s="6">
        <v>39894</v>
      </c>
      <c r="E254" s="6"/>
      <c r="F254" s="15" t="str">
        <f ca="1">IF(E254="",DATEDIF(D254,TODAY(),"y")&amp; "Years" &amp;DATEDIF(D254,TODAY(),"ym")&amp; "Months"&amp;DATEDIF(D254,TODAY(),"md") &amp;"Days",DATEDIF(D254,E254,"y")&amp; "Years" &amp;DATEDIF(D254,E254,"ym")&amp; "Months"&amp;DATEDIF(D254,E254,"md") &amp;"Days")</f>
        <v>17Years1Months21Days</v>
      </c>
      <c r="G254" s="1" t="s">
        <v>13</v>
      </c>
      <c r="H254" s="2">
        <v>27456.25</v>
      </c>
      <c r="I254" s="7">
        <v>2</v>
      </c>
      <c r="J254" s="7">
        <v>3</v>
      </c>
      <c r="K254" s="7">
        <v>1</v>
      </c>
      <c r="L254" s="7">
        <v>1</v>
      </c>
      <c r="M254" s="7">
        <v>1</v>
      </c>
      <c r="N254" s="1">
        <f t="shared" si="30"/>
        <v>2</v>
      </c>
      <c r="O254" s="1" t="str">
        <f t="shared" si="28"/>
        <v>Meets Expectations</v>
      </c>
    </row>
    <row r="255" spans="1:15" x14ac:dyDescent="0.55000000000000004">
      <c r="A255" s="3">
        <v>1238911254</v>
      </c>
      <c r="B255" s="1" t="s">
        <v>12</v>
      </c>
      <c r="C255" s="6">
        <v>28762</v>
      </c>
      <c r="D255" s="6">
        <v>40401</v>
      </c>
      <c r="E255" s="6"/>
      <c r="F255" s="6"/>
      <c r="G255" s="1" t="s">
        <v>107</v>
      </c>
      <c r="H255" s="2">
        <v>30940</v>
      </c>
      <c r="I255" s="7">
        <v>2</v>
      </c>
      <c r="J255" s="7">
        <v>1</v>
      </c>
      <c r="K255" s="7">
        <v>2</v>
      </c>
      <c r="L255" s="7">
        <v>1</v>
      </c>
      <c r="M255" s="7">
        <v>1</v>
      </c>
      <c r="N255" s="1">
        <f t="shared" si="30"/>
        <v>1</v>
      </c>
      <c r="O255" s="1" t="str">
        <f t="shared" si="28"/>
        <v>Below Expectations</v>
      </c>
    </row>
    <row r="256" spans="1:15" x14ac:dyDescent="0.55000000000000004">
      <c r="A256" s="3">
        <v>1238911255</v>
      </c>
      <c r="B256" s="1" t="s">
        <v>12</v>
      </c>
      <c r="C256" s="6">
        <v>28762</v>
      </c>
      <c r="D256" s="6">
        <v>40540</v>
      </c>
      <c r="E256" s="6"/>
      <c r="F256" s="6"/>
      <c r="G256" s="1" t="s">
        <v>107</v>
      </c>
      <c r="H256" s="2">
        <v>30940</v>
      </c>
      <c r="I256" s="7">
        <v>1</v>
      </c>
      <c r="J256" s="7">
        <v>2</v>
      </c>
      <c r="K256" s="7">
        <v>3</v>
      </c>
      <c r="L256" s="7">
        <v>2</v>
      </c>
      <c r="M256" s="7">
        <v>1</v>
      </c>
      <c r="N256" s="1">
        <f t="shared" si="30"/>
        <v>2</v>
      </c>
      <c r="O256" s="1" t="str">
        <f t="shared" si="28"/>
        <v>Meets Expectations</v>
      </c>
    </row>
    <row r="257" spans="1:15" x14ac:dyDescent="0.55000000000000004">
      <c r="A257" s="3">
        <v>1238911256</v>
      </c>
      <c r="B257" s="1" t="s">
        <v>14</v>
      </c>
      <c r="C257" s="6">
        <v>28804</v>
      </c>
      <c r="D257" s="6">
        <v>38664</v>
      </c>
      <c r="E257" s="6"/>
      <c r="F257" s="15" t="str">
        <f ca="1">IF(E257="",DATEDIF(D257,TODAY(),"y")&amp; "Years" &amp;DATEDIF(D257,TODAY(),"ym")&amp; "Months"&amp;DATEDIF(D257,TODAY(),"md") &amp;"Days",DATEDIF(D257,E257,"y")&amp; "Years" &amp;DATEDIF(D257,E257,"ym")&amp; "Months"&amp;DATEDIF(D257,E257,"md") &amp;"Days")</f>
        <v>20Years6Months5Days</v>
      </c>
      <c r="G257" s="1" t="s">
        <v>13</v>
      </c>
      <c r="H257" s="2">
        <v>31200</v>
      </c>
      <c r="I257" s="7">
        <v>3</v>
      </c>
      <c r="J257" s="7">
        <v>3</v>
      </c>
      <c r="K257" s="7">
        <v>2</v>
      </c>
      <c r="L257" s="7">
        <v>3</v>
      </c>
      <c r="M257" s="7">
        <v>3</v>
      </c>
      <c r="N257" s="1">
        <f t="shared" si="30"/>
        <v>3</v>
      </c>
      <c r="O257" s="1" t="str">
        <f t="shared" si="28"/>
        <v>Exceeds Expectations</v>
      </c>
    </row>
    <row r="258" spans="1:15" x14ac:dyDescent="0.55000000000000004">
      <c r="A258" s="3">
        <v>1238911257</v>
      </c>
      <c r="B258" s="1" t="s">
        <v>12</v>
      </c>
      <c r="C258" s="6">
        <v>28854</v>
      </c>
      <c r="D258" s="6">
        <v>37547</v>
      </c>
      <c r="E258" s="6"/>
      <c r="F258" s="6"/>
      <c r="G258" s="1" t="s">
        <v>68</v>
      </c>
      <c r="H258" s="2">
        <v>63437.5</v>
      </c>
      <c r="I258" s="7">
        <v>2</v>
      </c>
      <c r="J258" s="7">
        <v>3</v>
      </c>
      <c r="K258" s="7">
        <v>3</v>
      </c>
      <c r="L258" s="7">
        <v>2</v>
      </c>
      <c r="M258" s="7">
        <v>3</v>
      </c>
      <c r="N258" s="1">
        <f t="shared" si="30"/>
        <v>3</v>
      </c>
      <c r="O258" s="1" t="str">
        <f t="shared" si="28"/>
        <v>Exceeds Expectations</v>
      </c>
    </row>
    <row r="259" spans="1:15" x14ac:dyDescent="0.55000000000000004">
      <c r="A259" s="3">
        <v>1238911258</v>
      </c>
      <c r="B259" s="1" t="s">
        <v>12</v>
      </c>
      <c r="C259" s="6">
        <v>28878</v>
      </c>
      <c r="D259" s="6">
        <v>44531</v>
      </c>
      <c r="E259" s="6"/>
      <c r="F259" s="6"/>
      <c r="G259" s="1" t="s">
        <v>108</v>
      </c>
      <c r="H259" s="2">
        <v>118978.6</v>
      </c>
      <c r="I259" s="7">
        <v>2</v>
      </c>
      <c r="J259" s="7">
        <v>2</v>
      </c>
      <c r="K259" s="7">
        <v>3</v>
      </c>
      <c r="L259" s="7">
        <v>3</v>
      </c>
      <c r="M259" s="7">
        <v>3</v>
      </c>
      <c r="N259" s="1">
        <f t="shared" si="30"/>
        <v>3</v>
      </c>
      <c r="O259" s="1" t="str">
        <f t="shared" si="28"/>
        <v>Exceeds Expectations</v>
      </c>
    </row>
    <row r="260" spans="1:15" x14ac:dyDescent="0.55000000000000004">
      <c r="A260" s="3">
        <v>1238911259</v>
      </c>
      <c r="B260" s="1" t="s">
        <v>12</v>
      </c>
      <c r="C260" s="6">
        <v>28887</v>
      </c>
      <c r="D260" s="6">
        <v>43979</v>
      </c>
      <c r="E260" s="6"/>
      <c r="F260" s="6"/>
      <c r="G260" s="1" t="s">
        <v>109</v>
      </c>
      <c r="H260" s="2">
        <v>37570</v>
      </c>
      <c r="I260" s="7">
        <v>3</v>
      </c>
      <c r="J260" s="7">
        <v>2</v>
      </c>
      <c r="K260" s="7">
        <v>1</v>
      </c>
      <c r="L260" s="7">
        <v>3</v>
      </c>
      <c r="M260" s="7">
        <v>1</v>
      </c>
      <c r="N260" s="1">
        <f t="shared" si="30"/>
        <v>2</v>
      </c>
      <c r="O260" s="1" t="str">
        <f t="shared" ref="O260:O323" si="35">IF(N260=1,"Below Expectations",IF(N260=2,"Meets Expectations","Exceeds Expectations"))</f>
        <v>Meets Expectations</v>
      </c>
    </row>
    <row r="261" spans="1:15" x14ac:dyDescent="0.55000000000000004">
      <c r="A261" s="3">
        <v>1238911260</v>
      </c>
      <c r="B261" s="1" t="s">
        <v>12</v>
      </c>
      <c r="C261" s="6">
        <v>28887</v>
      </c>
      <c r="D261" s="6">
        <v>42980</v>
      </c>
      <c r="E261" s="6">
        <v>43979</v>
      </c>
      <c r="F261" s="6"/>
      <c r="G261" s="1" t="s">
        <v>109</v>
      </c>
      <c r="H261" s="2">
        <v>37570</v>
      </c>
      <c r="I261" s="7">
        <v>2</v>
      </c>
      <c r="J261" s="7">
        <v>2</v>
      </c>
      <c r="K261" s="7">
        <v>3</v>
      </c>
      <c r="L261" s="7">
        <v>1</v>
      </c>
      <c r="M261" s="7">
        <v>2</v>
      </c>
      <c r="N261" s="1">
        <f t="shared" si="30"/>
        <v>2</v>
      </c>
      <c r="O261" s="1" t="str">
        <f t="shared" si="35"/>
        <v>Meets Expectations</v>
      </c>
    </row>
    <row r="262" spans="1:15" x14ac:dyDescent="0.55000000000000004">
      <c r="A262" s="3">
        <v>1238911261</v>
      </c>
      <c r="B262" s="1" t="s">
        <v>12</v>
      </c>
      <c r="C262" s="6">
        <v>28893</v>
      </c>
      <c r="D262" s="6">
        <v>42488</v>
      </c>
      <c r="E262" s="6"/>
      <c r="F262" s="6"/>
      <c r="G262" s="1" t="s">
        <v>45</v>
      </c>
      <c r="H262" s="2">
        <v>67964</v>
      </c>
      <c r="I262" s="7">
        <v>1</v>
      </c>
      <c r="J262" s="7">
        <v>3</v>
      </c>
      <c r="K262" s="7">
        <v>1</v>
      </c>
      <c r="L262" s="7">
        <v>2</v>
      </c>
      <c r="M262" s="7">
        <v>1</v>
      </c>
      <c r="N262" s="1">
        <f t="shared" si="30"/>
        <v>2</v>
      </c>
      <c r="O262" s="1" t="str">
        <f t="shared" si="35"/>
        <v>Meets Expectations</v>
      </c>
    </row>
    <row r="263" spans="1:15" x14ac:dyDescent="0.55000000000000004">
      <c r="A263" s="3">
        <v>1238911262</v>
      </c>
      <c r="B263" s="1" t="s">
        <v>12</v>
      </c>
      <c r="C263" s="6">
        <v>28909</v>
      </c>
      <c r="D263" s="6">
        <v>42697</v>
      </c>
      <c r="E263" s="6"/>
      <c r="F263" s="6"/>
      <c r="G263" s="1" t="s">
        <v>110</v>
      </c>
      <c r="H263" s="2">
        <v>93967.5</v>
      </c>
      <c r="I263" s="7">
        <v>3</v>
      </c>
      <c r="J263" s="7">
        <v>3</v>
      </c>
      <c r="K263" s="7">
        <v>3</v>
      </c>
      <c r="L263" s="7">
        <v>2</v>
      </c>
      <c r="M263" s="7">
        <v>2</v>
      </c>
      <c r="N263" s="1">
        <f t="shared" si="30"/>
        <v>3</v>
      </c>
      <c r="O263" s="1" t="str">
        <f t="shared" si="35"/>
        <v>Exceeds Expectations</v>
      </c>
    </row>
    <row r="264" spans="1:15" x14ac:dyDescent="0.55000000000000004">
      <c r="A264" s="3">
        <v>1238911263</v>
      </c>
      <c r="B264" s="1" t="s">
        <v>12</v>
      </c>
      <c r="C264" s="6">
        <v>28953</v>
      </c>
      <c r="D264" s="6">
        <v>42455</v>
      </c>
      <c r="E264" s="6"/>
      <c r="F264" s="6"/>
      <c r="G264" s="1" t="s">
        <v>25</v>
      </c>
      <c r="H264" s="2">
        <v>34658</v>
      </c>
      <c r="I264" s="7">
        <v>3</v>
      </c>
      <c r="J264" s="7">
        <v>3</v>
      </c>
      <c r="K264" s="7">
        <v>2</v>
      </c>
      <c r="L264" s="7">
        <v>3</v>
      </c>
      <c r="M264" s="7">
        <v>3</v>
      </c>
      <c r="N264" s="1">
        <f t="shared" ref="N264:N327" si="36">ROUND(AVERAGE(I264:M264),0)</f>
        <v>3</v>
      </c>
      <c r="O264" s="1" t="str">
        <f t="shared" si="35"/>
        <v>Exceeds Expectations</v>
      </c>
    </row>
    <row r="265" spans="1:15" x14ac:dyDescent="0.55000000000000004">
      <c r="A265" s="3">
        <v>1238911264</v>
      </c>
      <c r="B265" s="1" t="s">
        <v>14</v>
      </c>
      <c r="C265" s="6">
        <v>28970</v>
      </c>
      <c r="D265" s="6">
        <v>41662</v>
      </c>
      <c r="E265" s="6"/>
      <c r="F265" s="15" t="str">
        <f t="shared" ref="F265:F266" ca="1" si="37">IF(E265="",DATEDIF(D265,TODAY(),"y")&amp; "Years" &amp;DATEDIF(D265,TODAY(),"ym")&amp; "Months"&amp;DATEDIF(D265,TODAY(),"md") &amp;"Days",DATEDIF(D265,E265,"y")&amp; "Years" &amp;DATEDIF(D265,E265,"ym")&amp; "Months"&amp;DATEDIF(D265,E265,"md") &amp;"Days")</f>
        <v>12Years3Months20Days</v>
      </c>
      <c r="G265" s="1" t="s">
        <v>13</v>
      </c>
      <c r="H265" s="2">
        <v>27300</v>
      </c>
      <c r="I265" s="7">
        <v>1</v>
      </c>
      <c r="J265" s="7">
        <v>3</v>
      </c>
      <c r="K265" s="7">
        <v>3</v>
      </c>
      <c r="L265" s="7">
        <v>1</v>
      </c>
      <c r="M265" s="7">
        <v>1</v>
      </c>
      <c r="N265" s="1">
        <f t="shared" si="36"/>
        <v>2</v>
      </c>
      <c r="O265" s="1" t="str">
        <f t="shared" si="35"/>
        <v>Meets Expectations</v>
      </c>
    </row>
    <row r="266" spans="1:15" x14ac:dyDescent="0.55000000000000004">
      <c r="A266" s="3">
        <v>1238911265</v>
      </c>
      <c r="B266" s="1" t="s">
        <v>14</v>
      </c>
      <c r="C266" s="6">
        <v>28970</v>
      </c>
      <c r="D266" s="6">
        <v>41662</v>
      </c>
      <c r="E266" s="6"/>
      <c r="F266" s="15" t="str">
        <f t="shared" ca="1" si="37"/>
        <v>12Years3Months20Days</v>
      </c>
      <c r="G266" s="1" t="s">
        <v>13</v>
      </c>
      <c r="H266" s="2">
        <v>27300</v>
      </c>
      <c r="I266" s="7">
        <v>2</v>
      </c>
      <c r="J266" s="7">
        <v>2</v>
      </c>
      <c r="K266" s="7">
        <v>3</v>
      </c>
      <c r="L266" s="7">
        <v>2</v>
      </c>
      <c r="M266" s="7">
        <v>1</v>
      </c>
      <c r="N266" s="1">
        <f t="shared" si="36"/>
        <v>2</v>
      </c>
      <c r="O266" s="1" t="str">
        <f t="shared" si="35"/>
        <v>Meets Expectations</v>
      </c>
    </row>
    <row r="267" spans="1:15" x14ac:dyDescent="0.55000000000000004">
      <c r="A267" s="3">
        <v>1238911266</v>
      </c>
      <c r="B267" s="1" t="s">
        <v>12</v>
      </c>
      <c r="C267" s="6">
        <v>28975</v>
      </c>
      <c r="D267" s="6">
        <v>40887</v>
      </c>
      <c r="E267" s="6"/>
      <c r="F267" s="6"/>
      <c r="G267" s="1" t="s">
        <v>111</v>
      </c>
      <c r="H267" s="2">
        <v>32032</v>
      </c>
      <c r="I267" s="7">
        <v>2</v>
      </c>
      <c r="J267" s="7">
        <v>1</v>
      </c>
      <c r="K267" s="7">
        <v>3</v>
      </c>
      <c r="L267" s="7">
        <v>1</v>
      </c>
      <c r="M267" s="7">
        <v>1</v>
      </c>
      <c r="N267" s="1">
        <f t="shared" si="36"/>
        <v>2</v>
      </c>
      <c r="O267" s="1" t="str">
        <f t="shared" si="35"/>
        <v>Meets Expectations</v>
      </c>
    </row>
    <row r="268" spans="1:15" x14ac:dyDescent="0.55000000000000004">
      <c r="A268" s="3">
        <v>1238911267</v>
      </c>
      <c r="B268" s="1" t="s">
        <v>12</v>
      </c>
      <c r="C268" s="6">
        <v>28999</v>
      </c>
      <c r="D268" s="6">
        <v>41537</v>
      </c>
      <c r="E268" s="6"/>
      <c r="F268" s="6"/>
      <c r="G268" s="1" t="s">
        <v>107</v>
      </c>
      <c r="H268" s="2">
        <v>31616</v>
      </c>
      <c r="I268" s="7">
        <v>3</v>
      </c>
      <c r="J268" s="7">
        <v>2</v>
      </c>
      <c r="K268" s="7">
        <v>2</v>
      </c>
      <c r="L268" s="7">
        <v>3</v>
      </c>
      <c r="M268" s="7">
        <v>2</v>
      </c>
      <c r="N268" s="1">
        <f t="shared" si="36"/>
        <v>2</v>
      </c>
      <c r="O268" s="1" t="str">
        <f t="shared" si="35"/>
        <v>Meets Expectations</v>
      </c>
    </row>
    <row r="269" spans="1:15" x14ac:dyDescent="0.55000000000000004">
      <c r="A269" s="3">
        <v>1238911268</v>
      </c>
      <c r="B269" s="1" t="s">
        <v>14</v>
      </c>
      <c r="C269" s="6">
        <v>29018</v>
      </c>
      <c r="D269" s="6">
        <v>42195</v>
      </c>
      <c r="E269" s="6"/>
      <c r="F269" s="15" t="str">
        <f ca="1">IF(E269="",DATEDIF(D269,TODAY(),"y")&amp; "Years" &amp;DATEDIF(D269,TODAY(),"ym")&amp; "Months"&amp;DATEDIF(D269,TODAY(),"md") &amp;"Days",DATEDIF(D269,E269,"y")&amp; "Years" &amp;DATEDIF(D269,E269,"ym")&amp; "Months"&amp;DATEDIF(D269,E269,"md") &amp;"Days")</f>
        <v>10Years10Months3Days</v>
      </c>
      <c r="G269" s="1" t="s">
        <v>13</v>
      </c>
      <c r="H269" s="2">
        <v>26000</v>
      </c>
      <c r="I269" s="7">
        <v>1</v>
      </c>
      <c r="J269" s="7">
        <v>3</v>
      </c>
      <c r="K269" s="7">
        <v>1</v>
      </c>
      <c r="L269" s="7">
        <v>3</v>
      </c>
      <c r="M269" s="7">
        <v>2</v>
      </c>
      <c r="N269" s="1">
        <f t="shared" si="36"/>
        <v>2</v>
      </c>
      <c r="O269" s="1" t="str">
        <f t="shared" si="35"/>
        <v>Meets Expectations</v>
      </c>
    </row>
    <row r="270" spans="1:15" x14ac:dyDescent="0.55000000000000004">
      <c r="A270" s="3">
        <v>1238911269</v>
      </c>
      <c r="B270" s="1" t="s">
        <v>12</v>
      </c>
      <c r="C270" s="6">
        <v>29077</v>
      </c>
      <c r="D270" s="6">
        <v>44818</v>
      </c>
      <c r="E270" s="6"/>
      <c r="F270" s="6"/>
      <c r="G270" s="1" t="s">
        <v>112</v>
      </c>
      <c r="H270" s="2">
        <v>170266.19999999998</v>
      </c>
      <c r="I270" s="7">
        <v>3</v>
      </c>
      <c r="J270" s="7">
        <v>3</v>
      </c>
      <c r="K270" s="7">
        <v>2</v>
      </c>
      <c r="L270" s="7">
        <v>2</v>
      </c>
      <c r="M270" s="7">
        <v>2</v>
      </c>
      <c r="N270" s="1">
        <f t="shared" si="36"/>
        <v>2</v>
      </c>
      <c r="O270" s="1" t="str">
        <f t="shared" si="35"/>
        <v>Meets Expectations</v>
      </c>
    </row>
    <row r="271" spans="1:15" x14ac:dyDescent="0.55000000000000004">
      <c r="A271" s="3">
        <v>1238911270</v>
      </c>
      <c r="B271" s="1" t="s">
        <v>14</v>
      </c>
      <c r="C271" s="6">
        <v>29089</v>
      </c>
      <c r="D271" s="6">
        <v>45918</v>
      </c>
      <c r="E271" s="6"/>
      <c r="F271" s="6"/>
      <c r="G271" s="1" t="s">
        <v>113</v>
      </c>
      <c r="H271" s="2">
        <v>60000</v>
      </c>
      <c r="I271" s="7">
        <v>3</v>
      </c>
      <c r="J271" s="7">
        <v>1</v>
      </c>
      <c r="K271" s="7">
        <v>2</v>
      </c>
      <c r="L271" s="7">
        <v>1</v>
      </c>
      <c r="M271" s="7">
        <v>3</v>
      </c>
      <c r="N271" s="1">
        <f t="shared" si="36"/>
        <v>2</v>
      </c>
      <c r="O271" s="1" t="str">
        <f t="shared" si="35"/>
        <v>Meets Expectations</v>
      </c>
    </row>
    <row r="272" spans="1:15" x14ac:dyDescent="0.55000000000000004">
      <c r="A272" s="3">
        <v>1238911271</v>
      </c>
      <c r="B272" s="1" t="s">
        <v>14</v>
      </c>
      <c r="C272" s="6">
        <v>29122</v>
      </c>
      <c r="D272" s="6">
        <v>42341</v>
      </c>
      <c r="E272" s="6"/>
      <c r="F272" s="15" t="str">
        <f ca="1">IF(E272="",DATEDIF(D272,TODAY(),"y")&amp; "Years" &amp;DATEDIF(D272,TODAY(),"ym")&amp; "Months"&amp;DATEDIF(D272,TODAY(),"md") &amp;"Days",DATEDIF(D272,E272,"y")&amp; "Years" &amp;DATEDIF(D272,E272,"ym")&amp; "Months"&amp;DATEDIF(D272,E272,"md") &amp;"Days")</f>
        <v>10Years5Months10Days</v>
      </c>
      <c r="G272" s="1" t="s">
        <v>13</v>
      </c>
      <c r="H272" s="2">
        <v>29380</v>
      </c>
      <c r="I272" s="7">
        <v>2</v>
      </c>
      <c r="J272" s="7">
        <v>2</v>
      </c>
      <c r="K272" s="7">
        <v>1</v>
      </c>
      <c r="L272" s="7">
        <v>2</v>
      </c>
      <c r="M272" s="7">
        <v>2</v>
      </c>
      <c r="N272" s="1">
        <f t="shared" si="36"/>
        <v>2</v>
      </c>
      <c r="O272" s="1" t="str">
        <f t="shared" si="35"/>
        <v>Meets Expectations</v>
      </c>
    </row>
    <row r="273" spans="1:15" x14ac:dyDescent="0.55000000000000004">
      <c r="A273" s="3">
        <v>1238911272</v>
      </c>
      <c r="B273" s="1" t="s">
        <v>14</v>
      </c>
      <c r="C273" s="6">
        <v>29144</v>
      </c>
      <c r="D273" s="6">
        <v>43511</v>
      </c>
      <c r="E273" s="6"/>
      <c r="F273" s="6"/>
      <c r="G273" s="1" t="s">
        <v>114</v>
      </c>
      <c r="H273" s="2">
        <v>75036</v>
      </c>
      <c r="I273" s="7">
        <v>1</v>
      </c>
      <c r="J273" s="7">
        <v>3</v>
      </c>
      <c r="K273" s="7">
        <v>1</v>
      </c>
      <c r="L273" s="7">
        <v>1</v>
      </c>
      <c r="M273" s="7">
        <v>1</v>
      </c>
      <c r="N273" s="1">
        <f t="shared" si="36"/>
        <v>1</v>
      </c>
      <c r="O273" s="1" t="str">
        <f t="shared" si="35"/>
        <v>Below Expectations</v>
      </c>
    </row>
    <row r="274" spans="1:15" x14ac:dyDescent="0.55000000000000004">
      <c r="A274" s="3">
        <v>1238911273</v>
      </c>
      <c r="B274" s="1" t="s">
        <v>12</v>
      </c>
      <c r="C274" s="6">
        <v>29154</v>
      </c>
      <c r="D274" s="6">
        <v>41346</v>
      </c>
      <c r="E274" s="6"/>
      <c r="F274" s="6"/>
      <c r="G274" s="1" t="s">
        <v>115</v>
      </c>
      <c r="H274" s="2">
        <v>130842.4</v>
      </c>
      <c r="I274" s="7">
        <v>3</v>
      </c>
      <c r="J274" s="7">
        <v>2</v>
      </c>
      <c r="K274" s="7">
        <v>3</v>
      </c>
      <c r="L274" s="7">
        <v>2</v>
      </c>
      <c r="M274" s="7">
        <v>2</v>
      </c>
      <c r="N274" s="1">
        <f t="shared" si="36"/>
        <v>2</v>
      </c>
      <c r="O274" s="1" t="str">
        <f t="shared" si="35"/>
        <v>Meets Expectations</v>
      </c>
    </row>
    <row r="275" spans="1:15" x14ac:dyDescent="0.55000000000000004">
      <c r="A275" s="3">
        <v>1238911274</v>
      </c>
      <c r="B275" s="1" t="s">
        <v>12</v>
      </c>
      <c r="C275" s="6">
        <v>29155</v>
      </c>
      <c r="D275" s="6">
        <v>41115</v>
      </c>
      <c r="E275" s="6"/>
      <c r="F275" s="6"/>
      <c r="G275" s="1" t="s">
        <v>116</v>
      </c>
      <c r="H275" s="2">
        <v>144103.04999999999</v>
      </c>
      <c r="I275" s="7">
        <v>2</v>
      </c>
      <c r="J275" s="7">
        <v>3</v>
      </c>
      <c r="K275" s="7">
        <v>2</v>
      </c>
      <c r="L275" s="7">
        <v>2</v>
      </c>
      <c r="M275" s="7">
        <v>2</v>
      </c>
      <c r="N275" s="1">
        <f t="shared" si="36"/>
        <v>2</v>
      </c>
      <c r="O275" s="1" t="str">
        <f t="shared" si="35"/>
        <v>Meets Expectations</v>
      </c>
    </row>
    <row r="276" spans="1:15" x14ac:dyDescent="0.55000000000000004">
      <c r="A276" s="3">
        <v>1238911275</v>
      </c>
      <c r="B276" s="1" t="s">
        <v>12</v>
      </c>
      <c r="C276" s="6">
        <v>29222</v>
      </c>
      <c r="D276" s="6">
        <v>44468</v>
      </c>
      <c r="E276" s="6">
        <v>45216</v>
      </c>
      <c r="F276" s="6"/>
      <c r="G276" s="1" t="s">
        <v>43</v>
      </c>
      <c r="H276" s="2">
        <v>30082</v>
      </c>
      <c r="I276" s="7">
        <v>2</v>
      </c>
      <c r="J276" s="7">
        <v>3</v>
      </c>
      <c r="K276" s="7">
        <v>3</v>
      </c>
      <c r="L276" s="7">
        <v>1</v>
      </c>
      <c r="M276" s="7">
        <v>2</v>
      </c>
      <c r="N276" s="1">
        <f t="shared" si="36"/>
        <v>2</v>
      </c>
      <c r="O276" s="1" t="str">
        <f t="shared" si="35"/>
        <v>Meets Expectations</v>
      </c>
    </row>
    <row r="277" spans="1:15" x14ac:dyDescent="0.55000000000000004">
      <c r="A277" s="3">
        <v>1238911276</v>
      </c>
      <c r="B277" s="1" t="s">
        <v>14</v>
      </c>
      <c r="C277" s="6">
        <v>29234</v>
      </c>
      <c r="D277" s="6">
        <v>45154</v>
      </c>
      <c r="E277" s="6"/>
      <c r="F277" s="15" t="str">
        <f t="shared" ref="F277:F278" ca="1" si="38">IF(E277="",DATEDIF(D277,TODAY(),"y")&amp; "Years" &amp;DATEDIF(D277,TODAY(),"ym")&amp; "Months"&amp;DATEDIF(D277,TODAY(),"md") &amp;"Days",DATEDIF(D277,E277,"y")&amp; "Years" &amp;DATEDIF(D277,E277,"ym")&amp; "Months"&amp;DATEDIF(D277,E277,"md") &amp;"Days")</f>
        <v>2Years8Months27Days</v>
      </c>
      <c r="G277" s="1" t="s">
        <v>25</v>
      </c>
      <c r="H277" s="2">
        <v>27768</v>
      </c>
      <c r="I277" s="7">
        <v>1</v>
      </c>
      <c r="J277" s="7">
        <v>2</v>
      </c>
      <c r="K277" s="7">
        <v>1</v>
      </c>
      <c r="L277" s="7">
        <v>2</v>
      </c>
      <c r="M277" s="7">
        <v>1</v>
      </c>
      <c r="N277" s="1">
        <f t="shared" si="36"/>
        <v>1</v>
      </c>
      <c r="O277" s="1" t="str">
        <f t="shared" si="35"/>
        <v>Below Expectations</v>
      </c>
    </row>
    <row r="278" spans="1:15" x14ac:dyDescent="0.55000000000000004">
      <c r="A278" s="3">
        <v>1238911277</v>
      </c>
      <c r="B278" s="1" t="s">
        <v>14</v>
      </c>
      <c r="C278" s="6">
        <v>29285</v>
      </c>
      <c r="D278" s="6">
        <v>44558</v>
      </c>
      <c r="E278" s="6"/>
      <c r="F278" s="15" t="str">
        <f t="shared" ca="1" si="38"/>
        <v>4Years4Months15Days</v>
      </c>
      <c r="G278" s="1" t="s">
        <v>117</v>
      </c>
      <c r="H278" s="2">
        <v>46150</v>
      </c>
      <c r="I278" s="7">
        <v>1</v>
      </c>
      <c r="J278" s="7">
        <v>2</v>
      </c>
      <c r="K278" s="7">
        <v>2</v>
      </c>
      <c r="L278" s="7">
        <v>1</v>
      </c>
      <c r="M278" s="7">
        <v>1</v>
      </c>
      <c r="N278" s="1">
        <f t="shared" si="36"/>
        <v>1</v>
      </c>
      <c r="O278" s="1" t="str">
        <f t="shared" si="35"/>
        <v>Below Expectations</v>
      </c>
    </row>
    <row r="279" spans="1:15" x14ac:dyDescent="0.55000000000000004">
      <c r="A279" s="3">
        <v>1238911278</v>
      </c>
      <c r="B279" s="1" t="s">
        <v>14</v>
      </c>
      <c r="C279" s="6">
        <v>29358</v>
      </c>
      <c r="D279" s="6">
        <v>43612</v>
      </c>
      <c r="E279" s="6">
        <v>44707</v>
      </c>
      <c r="F279" s="6"/>
      <c r="G279" s="1" t="s">
        <v>68</v>
      </c>
      <c r="H279" s="2">
        <v>63726</v>
      </c>
      <c r="I279" s="7">
        <v>2</v>
      </c>
      <c r="J279" s="7">
        <v>2</v>
      </c>
      <c r="K279" s="7">
        <v>3</v>
      </c>
      <c r="L279" s="7">
        <v>2</v>
      </c>
      <c r="M279" s="7">
        <v>3</v>
      </c>
      <c r="N279" s="1">
        <f t="shared" si="36"/>
        <v>2</v>
      </c>
      <c r="O279" s="1" t="str">
        <f t="shared" si="35"/>
        <v>Meets Expectations</v>
      </c>
    </row>
    <row r="280" spans="1:15" x14ac:dyDescent="0.55000000000000004">
      <c r="A280" s="3">
        <v>1238911279</v>
      </c>
      <c r="B280" s="1" t="s">
        <v>12</v>
      </c>
      <c r="C280" s="6">
        <v>29408</v>
      </c>
      <c r="D280" s="6">
        <v>41153</v>
      </c>
      <c r="E280" s="6"/>
      <c r="F280" s="6"/>
      <c r="G280" s="1" t="s">
        <v>23</v>
      </c>
      <c r="H280" s="2">
        <v>49439.399999999994</v>
      </c>
      <c r="I280" s="7">
        <v>1</v>
      </c>
      <c r="J280" s="7">
        <v>1</v>
      </c>
      <c r="K280" s="7">
        <v>2</v>
      </c>
      <c r="L280" s="7">
        <v>3</v>
      </c>
      <c r="M280" s="7">
        <v>2</v>
      </c>
      <c r="N280" s="1">
        <f t="shared" si="36"/>
        <v>2</v>
      </c>
      <c r="O280" s="1" t="str">
        <f t="shared" si="35"/>
        <v>Meets Expectations</v>
      </c>
    </row>
    <row r="281" spans="1:15" x14ac:dyDescent="0.55000000000000004">
      <c r="A281" s="3">
        <v>1238911280</v>
      </c>
      <c r="B281" s="1" t="s">
        <v>12</v>
      </c>
      <c r="C281" s="6">
        <v>29458</v>
      </c>
      <c r="D281" s="6">
        <v>45099</v>
      </c>
      <c r="E281" s="6"/>
      <c r="F281" s="6"/>
      <c r="G281" s="1" t="s">
        <v>74</v>
      </c>
      <c r="H281" s="2">
        <v>49997.5</v>
      </c>
      <c r="I281" s="7">
        <v>3</v>
      </c>
      <c r="J281" s="7">
        <v>2</v>
      </c>
      <c r="K281" s="7">
        <v>1</v>
      </c>
      <c r="L281" s="7">
        <v>2</v>
      </c>
      <c r="M281" s="7">
        <v>2</v>
      </c>
      <c r="N281" s="1">
        <f t="shared" si="36"/>
        <v>2</v>
      </c>
      <c r="O281" s="1" t="str">
        <f t="shared" si="35"/>
        <v>Meets Expectations</v>
      </c>
    </row>
    <row r="282" spans="1:15" x14ac:dyDescent="0.55000000000000004">
      <c r="A282" s="3">
        <v>1238911281</v>
      </c>
      <c r="B282" s="1" t="s">
        <v>12</v>
      </c>
      <c r="C282" s="6">
        <v>29465</v>
      </c>
      <c r="D282" s="6">
        <v>42921</v>
      </c>
      <c r="E282" s="6"/>
      <c r="F282" s="6"/>
      <c r="G282" s="1" t="s">
        <v>118</v>
      </c>
      <c r="H282" s="2">
        <v>49628.875</v>
      </c>
      <c r="I282" s="7">
        <v>2</v>
      </c>
      <c r="J282" s="7">
        <v>2</v>
      </c>
      <c r="K282" s="7">
        <v>1</v>
      </c>
      <c r="L282" s="7">
        <v>1</v>
      </c>
      <c r="M282" s="7">
        <v>2</v>
      </c>
      <c r="N282" s="1">
        <f t="shared" si="36"/>
        <v>2</v>
      </c>
      <c r="O282" s="1" t="str">
        <f t="shared" si="35"/>
        <v>Meets Expectations</v>
      </c>
    </row>
    <row r="283" spans="1:15" x14ac:dyDescent="0.55000000000000004">
      <c r="A283" s="3">
        <v>1238911282</v>
      </c>
      <c r="B283" s="1" t="s">
        <v>12</v>
      </c>
      <c r="C283" s="6">
        <v>29465</v>
      </c>
      <c r="D283" s="6">
        <v>41110</v>
      </c>
      <c r="E283" s="6"/>
      <c r="F283" s="6"/>
      <c r="G283" s="1" t="s">
        <v>119</v>
      </c>
      <c r="H283" s="2">
        <v>380842.47499999998</v>
      </c>
      <c r="I283" s="7">
        <v>3</v>
      </c>
      <c r="J283" s="7">
        <v>2</v>
      </c>
      <c r="K283" s="7">
        <v>3</v>
      </c>
      <c r="L283" s="7">
        <v>3</v>
      </c>
      <c r="M283" s="7">
        <v>3</v>
      </c>
      <c r="N283" s="1">
        <f t="shared" si="36"/>
        <v>3</v>
      </c>
      <c r="O283" s="1" t="str">
        <f t="shared" si="35"/>
        <v>Exceeds Expectations</v>
      </c>
    </row>
    <row r="284" spans="1:15" x14ac:dyDescent="0.55000000000000004">
      <c r="A284" s="3">
        <v>1238911283</v>
      </c>
      <c r="B284" s="1" t="s">
        <v>12</v>
      </c>
      <c r="C284" s="6">
        <v>29466</v>
      </c>
      <c r="D284" s="6">
        <v>43707</v>
      </c>
      <c r="E284" s="6"/>
      <c r="F284" s="6"/>
      <c r="G284" s="1" t="s">
        <v>120</v>
      </c>
      <c r="H284" s="2">
        <v>171562.5</v>
      </c>
      <c r="I284" s="7">
        <v>3</v>
      </c>
      <c r="J284" s="7">
        <v>2</v>
      </c>
      <c r="K284" s="7">
        <v>3</v>
      </c>
      <c r="L284" s="7">
        <v>2</v>
      </c>
      <c r="M284" s="7">
        <v>2</v>
      </c>
      <c r="N284" s="1">
        <f t="shared" si="36"/>
        <v>2</v>
      </c>
      <c r="O284" s="1" t="str">
        <f t="shared" si="35"/>
        <v>Meets Expectations</v>
      </c>
    </row>
    <row r="285" spans="1:15" x14ac:dyDescent="0.55000000000000004">
      <c r="A285" s="3">
        <v>1238911284</v>
      </c>
      <c r="B285" s="1" t="s">
        <v>14</v>
      </c>
      <c r="C285" s="6">
        <v>29483</v>
      </c>
      <c r="D285" s="6">
        <v>43999</v>
      </c>
      <c r="E285" s="6"/>
      <c r="F285" s="6"/>
      <c r="G285" s="1" t="s">
        <v>121</v>
      </c>
      <c r="H285" s="2">
        <v>148260.77499999999</v>
      </c>
      <c r="I285" s="7">
        <v>3</v>
      </c>
      <c r="J285" s="7">
        <v>2</v>
      </c>
      <c r="K285" s="7">
        <v>2</v>
      </c>
      <c r="L285" s="7">
        <v>2</v>
      </c>
      <c r="M285" s="7">
        <v>2</v>
      </c>
      <c r="N285" s="1">
        <f t="shared" si="36"/>
        <v>2</v>
      </c>
      <c r="O285" s="1" t="str">
        <f t="shared" si="35"/>
        <v>Meets Expectations</v>
      </c>
    </row>
    <row r="286" spans="1:15" x14ac:dyDescent="0.55000000000000004">
      <c r="A286" s="3">
        <v>1238911285</v>
      </c>
      <c r="B286" s="1" t="s">
        <v>12</v>
      </c>
      <c r="C286" s="6">
        <v>29495</v>
      </c>
      <c r="D286" s="6">
        <v>40978</v>
      </c>
      <c r="E286" s="6"/>
      <c r="F286" s="6"/>
      <c r="G286" s="1" t="s">
        <v>122</v>
      </c>
      <c r="H286" s="2">
        <v>187500</v>
      </c>
      <c r="I286" s="7">
        <v>3</v>
      </c>
      <c r="J286" s="7">
        <v>3</v>
      </c>
      <c r="K286" s="7">
        <v>2</v>
      </c>
      <c r="L286" s="7">
        <v>2</v>
      </c>
      <c r="M286" s="7">
        <v>3</v>
      </c>
      <c r="N286" s="1">
        <f t="shared" si="36"/>
        <v>3</v>
      </c>
      <c r="O286" s="1" t="str">
        <f t="shared" si="35"/>
        <v>Exceeds Expectations</v>
      </c>
    </row>
    <row r="287" spans="1:15" x14ac:dyDescent="0.55000000000000004">
      <c r="A287" s="3">
        <v>1238911286</v>
      </c>
      <c r="B287" s="1" t="s">
        <v>12</v>
      </c>
      <c r="C287" s="6">
        <v>29522</v>
      </c>
      <c r="D287" s="6">
        <v>42871</v>
      </c>
      <c r="E287" s="6">
        <v>43768</v>
      </c>
      <c r="F287" s="6"/>
      <c r="G287" s="1" t="s">
        <v>43</v>
      </c>
      <c r="H287" s="2">
        <v>29900</v>
      </c>
      <c r="I287" s="7">
        <v>3</v>
      </c>
      <c r="J287" s="7">
        <v>2</v>
      </c>
      <c r="K287" s="7">
        <v>1</v>
      </c>
      <c r="L287" s="7">
        <v>1</v>
      </c>
      <c r="M287" s="7">
        <v>2</v>
      </c>
      <c r="N287" s="1">
        <f t="shared" si="36"/>
        <v>2</v>
      </c>
      <c r="O287" s="1" t="str">
        <f t="shared" si="35"/>
        <v>Meets Expectations</v>
      </c>
    </row>
    <row r="288" spans="1:15" x14ac:dyDescent="0.55000000000000004">
      <c r="A288" s="3">
        <v>1238911287</v>
      </c>
      <c r="B288" s="1" t="s">
        <v>12</v>
      </c>
      <c r="C288" s="6">
        <v>29531</v>
      </c>
      <c r="D288" s="6">
        <v>43064</v>
      </c>
      <c r="E288" s="6">
        <v>45609</v>
      </c>
      <c r="F288" s="6"/>
      <c r="G288" s="1" t="s">
        <v>36</v>
      </c>
      <c r="H288" s="2">
        <v>52500</v>
      </c>
      <c r="I288" s="7">
        <v>2</v>
      </c>
      <c r="J288" s="7">
        <v>1</v>
      </c>
      <c r="K288" s="7">
        <v>1</v>
      </c>
      <c r="L288" s="7">
        <v>1</v>
      </c>
      <c r="M288" s="7">
        <v>2</v>
      </c>
      <c r="N288" s="1">
        <f t="shared" si="36"/>
        <v>1</v>
      </c>
      <c r="O288" s="1" t="str">
        <f t="shared" si="35"/>
        <v>Below Expectations</v>
      </c>
    </row>
    <row r="289" spans="1:15" x14ac:dyDescent="0.55000000000000004">
      <c r="A289" s="3">
        <v>1238911288</v>
      </c>
      <c r="B289" s="1" t="s">
        <v>14</v>
      </c>
      <c r="C289" s="6">
        <v>29532</v>
      </c>
      <c r="D289" s="6">
        <v>41034</v>
      </c>
      <c r="E289" s="6"/>
      <c r="F289" s="15" t="str">
        <f ca="1">IF(E289="",DATEDIF(D289,TODAY(),"y")&amp; "Years" &amp;DATEDIF(D289,TODAY(),"ym")&amp; "Months"&amp;DATEDIF(D289,TODAY(),"md") &amp;"Days",DATEDIF(D289,E289,"y")&amp; "Years" &amp;DATEDIF(D289,E289,"ym")&amp; "Months"&amp;DATEDIF(D289,E289,"md") &amp;"Days")</f>
        <v>14Years0Months8Days</v>
      </c>
      <c r="G289" s="1" t="s">
        <v>123</v>
      </c>
      <c r="H289" s="2">
        <v>45526.25</v>
      </c>
      <c r="I289" s="7">
        <v>2</v>
      </c>
      <c r="J289" s="7">
        <v>3</v>
      </c>
      <c r="K289" s="7">
        <v>2</v>
      </c>
      <c r="L289" s="7">
        <v>2</v>
      </c>
      <c r="M289" s="7">
        <v>3</v>
      </c>
      <c r="N289" s="1">
        <f t="shared" si="36"/>
        <v>2</v>
      </c>
      <c r="O289" s="1" t="str">
        <f t="shared" si="35"/>
        <v>Meets Expectations</v>
      </c>
    </row>
    <row r="290" spans="1:15" x14ac:dyDescent="0.55000000000000004">
      <c r="A290" s="3">
        <v>1238911289</v>
      </c>
      <c r="B290" s="1" t="s">
        <v>12</v>
      </c>
      <c r="C290" s="6">
        <v>29555</v>
      </c>
      <c r="D290" s="6">
        <v>45063</v>
      </c>
      <c r="E290" s="6"/>
      <c r="F290" s="6"/>
      <c r="G290" s="1" t="s">
        <v>124</v>
      </c>
      <c r="H290" s="2">
        <v>39000</v>
      </c>
      <c r="I290" s="7">
        <v>2</v>
      </c>
      <c r="J290" s="7">
        <v>2</v>
      </c>
      <c r="K290" s="7">
        <v>2</v>
      </c>
      <c r="L290" s="7">
        <v>1</v>
      </c>
      <c r="M290" s="7">
        <v>1</v>
      </c>
      <c r="N290" s="1">
        <f t="shared" si="36"/>
        <v>2</v>
      </c>
      <c r="O290" s="1" t="str">
        <f t="shared" si="35"/>
        <v>Meets Expectations</v>
      </c>
    </row>
    <row r="291" spans="1:15" x14ac:dyDescent="0.55000000000000004">
      <c r="A291" s="3">
        <v>1238911290</v>
      </c>
      <c r="B291" s="1" t="s">
        <v>12</v>
      </c>
      <c r="C291" s="6">
        <v>29555</v>
      </c>
      <c r="D291" s="6">
        <v>43451</v>
      </c>
      <c r="E291" s="6"/>
      <c r="F291" s="6"/>
      <c r="G291" s="1" t="s">
        <v>124</v>
      </c>
      <c r="H291" s="2">
        <v>39000</v>
      </c>
      <c r="I291" s="7">
        <v>2</v>
      </c>
      <c r="J291" s="7">
        <v>2</v>
      </c>
      <c r="K291" s="7">
        <v>1</v>
      </c>
      <c r="L291" s="7">
        <v>3</v>
      </c>
      <c r="M291" s="7">
        <v>2</v>
      </c>
      <c r="N291" s="1">
        <f t="shared" si="36"/>
        <v>2</v>
      </c>
      <c r="O291" s="1" t="str">
        <f t="shared" si="35"/>
        <v>Meets Expectations</v>
      </c>
    </row>
    <row r="292" spans="1:15" x14ac:dyDescent="0.55000000000000004">
      <c r="A292" s="3">
        <v>1238911291</v>
      </c>
      <c r="B292" s="1" t="s">
        <v>14</v>
      </c>
      <c r="C292" s="6">
        <v>29568</v>
      </c>
      <c r="D292" s="6">
        <v>41429</v>
      </c>
      <c r="E292" s="6"/>
      <c r="F292" s="15" t="str">
        <f ca="1">IF(E292="",DATEDIF(D292,TODAY(),"y")&amp; "Years" &amp;DATEDIF(D292,TODAY(),"ym")&amp; "Months"&amp;DATEDIF(D292,TODAY(),"md") &amp;"Days",DATEDIF(D292,E292,"y")&amp; "Years" &amp;DATEDIF(D292,E292,"ym")&amp; "Months"&amp;DATEDIF(D292,E292,"md") &amp;"Days")</f>
        <v>12Years11Months9Days</v>
      </c>
      <c r="G292" s="1" t="s">
        <v>92</v>
      </c>
      <c r="H292" s="2">
        <v>31200</v>
      </c>
      <c r="I292" s="7">
        <v>1</v>
      </c>
      <c r="J292" s="7">
        <v>2</v>
      </c>
      <c r="K292" s="7">
        <v>3</v>
      </c>
      <c r="L292" s="7">
        <v>1</v>
      </c>
      <c r="M292" s="7">
        <v>3</v>
      </c>
      <c r="N292" s="1">
        <f t="shared" si="36"/>
        <v>2</v>
      </c>
      <c r="O292" s="1" t="str">
        <f t="shared" si="35"/>
        <v>Meets Expectations</v>
      </c>
    </row>
    <row r="293" spans="1:15" x14ac:dyDescent="0.55000000000000004">
      <c r="A293" s="3">
        <v>1238911292</v>
      </c>
      <c r="B293" s="1" t="s">
        <v>14</v>
      </c>
      <c r="C293" s="6">
        <v>29594</v>
      </c>
      <c r="D293" s="6">
        <v>41755</v>
      </c>
      <c r="E293" s="6"/>
      <c r="F293" s="6"/>
      <c r="G293" s="1" t="s">
        <v>125</v>
      </c>
      <c r="H293" s="2">
        <v>135000.125</v>
      </c>
      <c r="I293" s="7">
        <v>3</v>
      </c>
      <c r="J293" s="7">
        <v>2</v>
      </c>
      <c r="K293" s="7">
        <v>2</v>
      </c>
      <c r="L293" s="7">
        <v>2</v>
      </c>
      <c r="M293" s="7">
        <v>3</v>
      </c>
      <c r="N293" s="1">
        <f t="shared" si="36"/>
        <v>2</v>
      </c>
      <c r="O293" s="1" t="str">
        <f t="shared" si="35"/>
        <v>Meets Expectations</v>
      </c>
    </row>
    <row r="294" spans="1:15" x14ac:dyDescent="0.55000000000000004">
      <c r="A294" s="3">
        <v>1238911293</v>
      </c>
      <c r="B294" s="1" t="s">
        <v>12</v>
      </c>
      <c r="C294" s="6">
        <v>29608</v>
      </c>
      <c r="D294" s="6">
        <v>41159</v>
      </c>
      <c r="E294" s="6"/>
      <c r="F294" s="6"/>
      <c r="G294" s="1" t="s">
        <v>43</v>
      </c>
      <c r="H294" s="2">
        <v>34840</v>
      </c>
      <c r="I294" s="7">
        <v>3</v>
      </c>
      <c r="J294" s="7">
        <v>3</v>
      </c>
      <c r="K294" s="7">
        <v>3</v>
      </c>
      <c r="L294" s="7">
        <v>2</v>
      </c>
      <c r="M294" s="7">
        <v>2</v>
      </c>
      <c r="N294" s="1">
        <f t="shared" si="36"/>
        <v>3</v>
      </c>
      <c r="O294" s="1" t="str">
        <f t="shared" si="35"/>
        <v>Exceeds Expectations</v>
      </c>
    </row>
    <row r="295" spans="1:15" x14ac:dyDescent="0.55000000000000004">
      <c r="A295" s="3">
        <v>1238911294</v>
      </c>
      <c r="B295" s="1" t="s">
        <v>12</v>
      </c>
      <c r="C295" s="6">
        <v>29646</v>
      </c>
      <c r="D295" s="6">
        <v>41640</v>
      </c>
      <c r="E295" s="6"/>
      <c r="F295" s="6"/>
      <c r="G295" s="1" t="s">
        <v>126</v>
      </c>
      <c r="H295" s="2">
        <v>62865.074999999997</v>
      </c>
      <c r="I295" s="7">
        <v>1</v>
      </c>
      <c r="J295" s="7">
        <v>1</v>
      </c>
      <c r="K295" s="7">
        <v>2</v>
      </c>
      <c r="L295" s="7">
        <v>3</v>
      </c>
      <c r="M295" s="7">
        <v>3</v>
      </c>
      <c r="N295" s="1">
        <f t="shared" si="36"/>
        <v>2</v>
      </c>
      <c r="O295" s="1" t="str">
        <f t="shared" si="35"/>
        <v>Meets Expectations</v>
      </c>
    </row>
    <row r="296" spans="1:15" x14ac:dyDescent="0.55000000000000004">
      <c r="A296" s="3">
        <v>1238911295</v>
      </c>
      <c r="B296" s="1" t="s">
        <v>12</v>
      </c>
      <c r="C296" s="6">
        <v>29678</v>
      </c>
      <c r="D296" s="6">
        <v>42683</v>
      </c>
      <c r="E296" s="6">
        <v>44066</v>
      </c>
      <c r="F296" s="6"/>
      <c r="G296" s="1" t="s">
        <v>43</v>
      </c>
      <c r="H296" s="2">
        <v>30602</v>
      </c>
      <c r="I296" s="7">
        <v>2</v>
      </c>
      <c r="J296" s="7">
        <v>1</v>
      </c>
      <c r="K296" s="7">
        <v>3</v>
      </c>
      <c r="L296" s="7">
        <v>3</v>
      </c>
      <c r="M296" s="7">
        <v>2</v>
      </c>
      <c r="N296" s="1">
        <f t="shared" si="36"/>
        <v>2</v>
      </c>
      <c r="O296" s="1" t="str">
        <f t="shared" si="35"/>
        <v>Meets Expectations</v>
      </c>
    </row>
    <row r="297" spans="1:15" x14ac:dyDescent="0.55000000000000004">
      <c r="A297" s="3">
        <v>1238911296</v>
      </c>
      <c r="B297" s="1" t="s">
        <v>14</v>
      </c>
      <c r="C297" s="6">
        <v>29679</v>
      </c>
      <c r="D297" s="6">
        <v>41005</v>
      </c>
      <c r="E297" s="6">
        <v>41196</v>
      </c>
      <c r="F297" s="6"/>
      <c r="G297" s="1" t="s">
        <v>108</v>
      </c>
      <c r="H297" s="2">
        <v>101423.4</v>
      </c>
      <c r="I297" s="7">
        <v>2</v>
      </c>
      <c r="J297" s="7">
        <v>2</v>
      </c>
      <c r="K297" s="7">
        <v>2</v>
      </c>
      <c r="L297" s="7">
        <v>2</v>
      </c>
      <c r="M297" s="7">
        <v>3</v>
      </c>
      <c r="N297" s="1">
        <f t="shared" si="36"/>
        <v>2</v>
      </c>
      <c r="O297" s="1" t="str">
        <f t="shared" si="35"/>
        <v>Meets Expectations</v>
      </c>
    </row>
    <row r="298" spans="1:15" x14ac:dyDescent="0.55000000000000004">
      <c r="A298" s="3">
        <v>1238911297</v>
      </c>
      <c r="B298" s="1" t="s">
        <v>14</v>
      </c>
      <c r="C298" s="6">
        <v>29710</v>
      </c>
      <c r="D298" s="6">
        <v>44209</v>
      </c>
      <c r="E298" s="6">
        <v>45435</v>
      </c>
      <c r="F298" s="6"/>
      <c r="G298" s="1" t="s">
        <v>74</v>
      </c>
      <c r="H298" s="2">
        <v>56250</v>
      </c>
      <c r="I298" s="7">
        <v>1</v>
      </c>
      <c r="J298" s="7">
        <v>2</v>
      </c>
      <c r="K298" s="7">
        <v>3</v>
      </c>
      <c r="L298" s="7">
        <v>2</v>
      </c>
      <c r="M298" s="7">
        <v>1</v>
      </c>
      <c r="N298" s="1">
        <f t="shared" si="36"/>
        <v>2</v>
      </c>
      <c r="O298" s="1" t="str">
        <f t="shared" si="35"/>
        <v>Meets Expectations</v>
      </c>
    </row>
    <row r="299" spans="1:15" x14ac:dyDescent="0.55000000000000004">
      <c r="A299" s="3">
        <v>1238911298</v>
      </c>
      <c r="B299" s="1" t="s">
        <v>12</v>
      </c>
      <c r="C299" s="6">
        <v>29759</v>
      </c>
      <c r="D299" s="6">
        <v>43611</v>
      </c>
      <c r="E299" s="6"/>
      <c r="F299" s="6"/>
      <c r="G299" s="1" t="s">
        <v>127</v>
      </c>
      <c r="H299" s="2">
        <v>70125</v>
      </c>
      <c r="I299" s="7">
        <v>3</v>
      </c>
      <c r="J299" s="7">
        <v>3</v>
      </c>
      <c r="K299" s="7">
        <v>2</v>
      </c>
      <c r="L299" s="7">
        <v>2</v>
      </c>
      <c r="M299" s="7">
        <v>3</v>
      </c>
      <c r="N299" s="1">
        <f t="shared" si="36"/>
        <v>3</v>
      </c>
      <c r="O299" s="1" t="str">
        <f t="shared" si="35"/>
        <v>Exceeds Expectations</v>
      </c>
    </row>
    <row r="300" spans="1:15" x14ac:dyDescent="0.55000000000000004">
      <c r="A300" s="3">
        <v>1238911299</v>
      </c>
      <c r="B300" s="1" t="s">
        <v>12</v>
      </c>
      <c r="C300" s="6">
        <v>29766</v>
      </c>
      <c r="D300" s="6">
        <v>43643</v>
      </c>
      <c r="E300" s="6">
        <v>43994</v>
      </c>
      <c r="F300" s="6"/>
      <c r="G300" s="1" t="s">
        <v>43</v>
      </c>
      <c r="H300" s="2">
        <v>26520</v>
      </c>
      <c r="I300" s="7">
        <v>2</v>
      </c>
      <c r="J300" s="7">
        <v>1</v>
      </c>
      <c r="K300" s="7">
        <v>3</v>
      </c>
      <c r="L300" s="7">
        <v>3</v>
      </c>
      <c r="M300" s="7">
        <v>3</v>
      </c>
      <c r="N300" s="1">
        <f t="shared" si="36"/>
        <v>2</v>
      </c>
      <c r="O300" s="1" t="str">
        <f t="shared" si="35"/>
        <v>Meets Expectations</v>
      </c>
    </row>
    <row r="301" spans="1:15" x14ac:dyDescent="0.55000000000000004">
      <c r="A301" s="3">
        <v>1238911300</v>
      </c>
      <c r="B301" s="1" t="s">
        <v>14</v>
      </c>
      <c r="C301" s="6">
        <v>29782</v>
      </c>
      <c r="D301" s="6">
        <v>41116</v>
      </c>
      <c r="E301" s="6"/>
      <c r="F301" s="6"/>
      <c r="G301" s="1" t="s">
        <v>48</v>
      </c>
      <c r="H301" s="2">
        <v>59831.850000000006</v>
      </c>
      <c r="I301" s="7">
        <v>3</v>
      </c>
      <c r="J301" s="7">
        <v>1</v>
      </c>
      <c r="K301" s="7">
        <v>1</v>
      </c>
      <c r="L301" s="7">
        <v>1</v>
      </c>
      <c r="M301" s="7">
        <v>1</v>
      </c>
      <c r="N301" s="1">
        <f t="shared" si="36"/>
        <v>1</v>
      </c>
      <c r="O301" s="1" t="str">
        <f t="shared" si="35"/>
        <v>Below Expectations</v>
      </c>
    </row>
    <row r="302" spans="1:15" x14ac:dyDescent="0.55000000000000004">
      <c r="A302" s="3">
        <v>1238911301</v>
      </c>
      <c r="B302" s="1" t="s">
        <v>12</v>
      </c>
      <c r="C302" s="6">
        <v>29859</v>
      </c>
      <c r="D302" s="6">
        <v>41248</v>
      </c>
      <c r="E302" s="6"/>
      <c r="F302" s="6"/>
      <c r="G302" s="1" t="s">
        <v>128</v>
      </c>
      <c r="H302" s="2">
        <v>146372.52499999999</v>
      </c>
      <c r="I302" s="7">
        <v>2</v>
      </c>
      <c r="J302" s="7">
        <v>2</v>
      </c>
      <c r="K302" s="7">
        <v>2</v>
      </c>
      <c r="L302" s="7">
        <v>2</v>
      </c>
      <c r="M302" s="7">
        <v>2</v>
      </c>
      <c r="N302" s="1">
        <f t="shared" si="36"/>
        <v>2</v>
      </c>
      <c r="O302" s="1" t="str">
        <f t="shared" si="35"/>
        <v>Meets Expectations</v>
      </c>
    </row>
    <row r="303" spans="1:15" x14ac:dyDescent="0.55000000000000004">
      <c r="A303" s="3">
        <v>1238911302</v>
      </c>
      <c r="B303" s="1" t="s">
        <v>14</v>
      </c>
      <c r="C303" s="6">
        <v>29862</v>
      </c>
      <c r="D303" s="6">
        <v>44414</v>
      </c>
      <c r="E303" s="6"/>
      <c r="F303" s="15" t="str">
        <f t="shared" ref="F303:F305" ca="1" si="39">IF(E303="",DATEDIF(D303,TODAY(),"y")&amp; "Years" &amp;DATEDIF(D303,TODAY(),"ym")&amp; "Months"&amp;DATEDIF(D303,TODAY(),"md") &amp;"Days",DATEDIF(D303,E303,"y")&amp; "Years" &amp;DATEDIF(D303,E303,"ym")&amp; "Months"&amp;DATEDIF(D303,E303,"md") &amp;"Days")</f>
        <v>4Years9Months7Days</v>
      </c>
      <c r="G303" s="1" t="s">
        <v>13</v>
      </c>
      <c r="H303" s="2">
        <v>26520</v>
      </c>
      <c r="I303" s="7">
        <v>3</v>
      </c>
      <c r="J303" s="7">
        <v>2</v>
      </c>
      <c r="K303" s="7">
        <v>2</v>
      </c>
      <c r="L303" s="7">
        <v>2</v>
      </c>
      <c r="M303" s="7">
        <v>1</v>
      </c>
      <c r="N303" s="1">
        <f t="shared" si="36"/>
        <v>2</v>
      </c>
      <c r="O303" s="1" t="str">
        <f t="shared" si="35"/>
        <v>Meets Expectations</v>
      </c>
    </row>
    <row r="304" spans="1:15" x14ac:dyDescent="0.55000000000000004">
      <c r="A304" s="3">
        <v>1238911303</v>
      </c>
      <c r="B304" s="1" t="s">
        <v>14</v>
      </c>
      <c r="C304" s="6">
        <v>29877</v>
      </c>
      <c r="D304" s="6">
        <v>41565</v>
      </c>
      <c r="E304" s="6"/>
      <c r="F304" s="15" t="str">
        <f t="shared" ca="1" si="39"/>
        <v>12Years6Months25Days</v>
      </c>
      <c r="G304" s="1" t="s">
        <v>13</v>
      </c>
      <c r="H304" s="2">
        <v>29718</v>
      </c>
      <c r="I304" s="7">
        <v>2</v>
      </c>
      <c r="J304" s="7">
        <v>1</v>
      </c>
      <c r="K304" s="7">
        <v>2</v>
      </c>
      <c r="L304" s="7">
        <v>3</v>
      </c>
      <c r="M304" s="7">
        <v>3</v>
      </c>
      <c r="N304" s="1">
        <f t="shared" si="36"/>
        <v>2</v>
      </c>
      <c r="O304" s="1" t="str">
        <f t="shared" si="35"/>
        <v>Meets Expectations</v>
      </c>
    </row>
    <row r="305" spans="1:15" x14ac:dyDescent="0.55000000000000004">
      <c r="A305" s="3">
        <v>1238911304</v>
      </c>
      <c r="B305" s="1" t="s">
        <v>14</v>
      </c>
      <c r="C305" s="6">
        <v>29877</v>
      </c>
      <c r="D305" s="6">
        <v>43026</v>
      </c>
      <c r="E305" s="6">
        <v>43773</v>
      </c>
      <c r="F305" s="15" t="str">
        <f t="shared" ca="1" si="39"/>
        <v>2Years0Months17Days</v>
      </c>
      <c r="G305" s="1" t="s">
        <v>13</v>
      </c>
      <c r="H305" s="2">
        <v>29718</v>
      </c>
      <c r="I305" s="7">
        <v>1</v>
      </c>
      <c r="J305" s="7">
        <v>3</v>
      </c>
      <c r="K305" s="7">
        <v>1</v>
      </c>
      <c r="L305" s="7">
        <v>2</v>
      </c>
      <c r="M305" s="7">
        <v>1</v>
      </c>
      <c r="N305" s="1">
        <f t="shared" si="36"/>
        <v>2</v>
      </c>
      <c r="O305" s="1" t="str">
        <f t="shared" si="35"/>
        <v>Meets Expectations</v>
      </c>
    </row>
    <row r="306" spans="1:15" x14ac:dyDescent="0.55000000000000004">
      <c r="A306" s="3">
        <v>1238911305</v>
      </c>
      <c r="B306" s="1" t="s">
        <v>14</v>
      </c>
      <c r="C306" s="6">
        <v>29931</v>
      </c>
      <c r="D306" s="6">
        <v>40198</v>
      </c>
      <c r="E306" s="6"/>
      <c r="F306" s="6"/>
      <c r="G306" s="1" t="s">
        <v>36</v>
      </c>
      <c r="H306" s="2">
        <v>67423.850000000006</v>
      </c>
      <c r="I306" s="7">
        <v>1</v>
      </c>
      <c r="J306" s="7">
        <v>2</v>
      </c>
      <c r="K306" s="7">
        <v>3</v>
      </c>
      <c r="L306" s="7">
        <v>3</v>
      </c>
      <c r="M306" s="7">
        <v>3</v>
      </c>
      <c r="N306" s="1">
        <f t="shared" si="36"/>
        <v>2</v>
      </c>
      <c r="O306" s="1" t="str">
        <f t="shared" si="35"/>
        <v>Meets Expectations</v>
      </c>
    </row>
    <row r="307" spans="1:15" x14ac:dyDescent="0.55000000000000004">
      <c r="A307" s="3">
        <v>1238911306</v>
      </c>
      <c r="B307" s="1" t="s">
        <v>12</v>
      </c>
      <c r="C307" s="6">
        <v>29934</v>
      </c>
      <c r="D307" s="6">
        <v>43417</v>
      </c>
      <c r="E307" s="6"/>
      <c r="F307" s="6"/>
      <c r="G307" s="1" t="s">
        <v>129</v>
      </c>
      <c r="H307" s="2">
        <v>107992.625</v>
      </c>
      <c r="I307" s="7">
        <v>3</v>
      </c>
      <c r="J307" s="7">
        <v>3</v>
      </c>
      <c r="K307" s="7">
        <v>2</v>
      </c>
      <c r="L307" s="7">
        <v>2</v>
      </c>
      <c r="M307" s="7">
        <v>3</v>
      </c>
      <c r="N307" s="1">
        <f t="shared" si="36"/>
        <v>3</v>
      </c>
      <c r="O307" s="1" t="str">
        <f t="shared" si="35"/>
        <v>Exceeds Expectations</v>
      </c>
    </row>
    <row r="308" spans="1:15" x14ac:dyDescent="0.55000000000000004">
      <c r="A308" s="3">
        <v>1238911307</v>
      </c>
      <c r="B308" s="1" t="s">
        <v>12</v>
      </c>
      <c r="C308" s="6">
        <v>30004</v>
      </c>
      <c r="D308" s="6">
        <v>42742</v>
      </c>
      <c r="E308" s="6">
        <v>43461</v>
      </c>
      <c r="F308" s="6"/>
      <c r="G308" s="1" t="s">
        <v>130</v>
      </c>
      <c r="H308" s="2">
        <v>87069.45</v>
      </c>
      <c r="I308" s="7">
        <v>3</v>
      </c>
      <c r="J308" s="7">
        <v>2</v>
      </c>
      <c r="K308" s="7">
        <v>1</v>
      </c>
      <c r="L308" s="7">
        <v>2</v>
      </c>
      <c r="M308" s="7">
        <v>3</v>
      </c>
      <c r="N308" s="1">
        <f t="shared" si="36"/>
        <v>2</v>
      </c>
      <c r="O308" s="1" t="str">
        <f t="shared" si="35"/>
        <v>Meets Expectations</v>
      </c>
    </row>
    <row r="309" spans="1:15" x14ac:dyDescent="0.55000000000000004">
      <c r="A309" s="3">
        <v>1238911308</v>
      </c>
      <c r="B309" s="1" t="s">
        <v>14</v>
      </c>
      <c r="C309" s="6">
        <v>30071</v>
      </c>
      <c r="D309" s="6">
        <v>40977</v>
      </c>
      <c r="E309" s="6"/>
      <c r="F309" s="15" t="str">
        <f ca="1">IF(E309="",DATEDIF(D309,TODAY(),"y")&amp; "Years" &amp;DATEDIF(D309,TODAY(),"ym")&amp; "Months"&amp;DATEDIF(D309,TODAY(),"md") &amp;"Days",DATEDIF(D309,E309,"y")&amp; "Years" &amp;DATEDIF(D309,E309,"ym")&amp; "Months"&amp;DATEDIF(D309,E309,"md") &amp;"Days")</f>
        <v>14Years2Months4Days</v>
      </c>
      <c r="G309" s="1" t="s">
        <v>30</v>
      </c>
      <c r="H309" s="2">
        <v>41943.75</v>
      </c>
      <c r="I309" s="7">
        <v>2</v>
      </c>
      <c r="J309" s="7">
        <v>1</v>
      </c>
      <c r="K309" s="7">
        <v>1</v>
      </c>
      <c r="L309" s="7">
        <v>2</v>
      </c>
      <c r="M309" s="7">
        <v>3</v>
      </c>
      <c r="N309" s="1">
        <f t="shared" si="36"/>
        <v>2</v>
      </c>
      <c r="O309" s="1" t="str">
        <f t="shared" si="35"/>
        <v>Meets Expectations</v>
      </c>
    </row>
    <row r="310" spans="1:15" x14ac:dyDescent="0.55000000000000004">
      <c r="A310" s="3">
        <v>1238911309</v>
      </c>
      <c r="B310" s="1" t="s">
        <v>14</v>
      </c>
      <c r="C310" s="6">
        <v>30083</v>
      </c>
      <c r="D310" s="6">
        <v>41258</v>
      </c>
      <c r="E310" s="6"/>
      <c r="F310" s="6"/>
      <c r="G310" s="1" t="s">
        <v>90</v>
      </c>
      <c r="H310" s="2">
        <v>81250</v>
      </c>
      <c r="I310" s="7">
        <v>3</v>
      </c>
      <c r="J310" s="7">
        <v>1</v>
      </c>
      <c r="K310" s="7">
        <v>2</v>
      </c>
      <c r="L310" s="7">
        <v>3</v>
      </c>
      <c r="M310" s="7">
        <v>1</v>
      </c>
      <c r="N310" s="1">
        <f t="shared" si="36"/>
        <v>2</v>
      </c>
      <c r="O310" s="1" t="str">
        <f t="shared" si="35"/>
        <v>Meets Expectations</v>
      </c>
    </row>
    <row r="311" spans="1:15" x14ac:dyDescent="0.55000000000000004">
      <c r="A311" s="3">
        <v>1238911310</v>
      </c>
      <c r="B311" s="1" t="s">
        <v>12</v>
      </c>
      <c r="C311" s="6">
        <v>30149</v>
      </c>
      <c r="D311" s="6">
        <v>40970</v>
      </c>
      <c r="E311" s="6"/>
      <c r="F311" s="6"/>
      <c r="G311" s="1" t="s">
        <v>43</v>
      </c>
      <c r="H311" s="2">
        <v>26520</v>
      </c>
      <c r="I311" s="7">
        <v>3</v>
      </c>
      <c r="J311" s="7">
        <v>2</v>
      </c>
      <c r="K311" s="7">
        <v>3</v>
      </c>
      <c r="L311" s="7">
        <v>3</v>
      </c>
      <c r="M311" s="7">
        <v>2</v>
      </c>
      <c r="N311" s="1">
        <f t="shared" si="36"/>
        <v>3</v>
      </c>
      <c r="O311" s="1" t="str">
        <f t="shared" si="35"/>
        <v>Exceeds Expectations</v>
      </c>
    </row>
    <row r="312" spans="1:15" x14ac:dyDescent="0.55000000000000004">
      <c r="A312" s="3">
        <v>1238911311</v>
      </c>
      <c r="B312" s="1" t="s">
        <v>14</v>
      </c>
      <c r="C312" s="6">
        <v>30181</v>
      </c>
      <c r="D312" s="6">
        <v>42748</v>
      </c>
      <c r="E312" s="6"/>
      <c r="F312" s="6"/>
      <c r="G312" s="1" t="s">
        <v>99</v>
      </c>
      <c r="H312" s="2">
        <v>125065.52499999999</v>
      </c>
      <c r="I312" s="7">
        <v>3</v>
      </c>
      <c r="J312" s="7">
        <v>2</v>
      </c>
      <c r="K312" s="7">
        <v>2</v>
      </c>
      <c r="L312" s="7">
        <v>2</v>
      </c>
      <c r="M312" s="7">
        <v>3</v>
      </c>
      <c r="N312" s="1">
        <f t="shared" si="36"/>
        <v>2</v>
      </c>
      <c r="O312" s="1" t="str">
        <f t="shared" si="35"/>
        <v>Meets Expectations</v>
      </c>
    </row>
    <row r="313" spans="1:15" x14ac:dyDescent="0.55000000000000004">
      <c r="A313" s="3">
        <v>1238911312</v>
      </c>
      <c r="B313" s="1" t="s">
        <v>14</v>
      </c>
      <c r="C313" s="6">
        <v>30196</v>
      </c>
      <c r="D313" s="6">
        <v>41229</v>
      </c>
      <c r="E313" s="6"/>
      <c r="F313" s="15" t="str">
        <f ca="1">IF(E313="",DATEDIF(D313,TODAY(),"y")&amp; "Years" &amp;DATEDIF(D313,TODAY(),"ym")&amp; "Months"&amp;DATEDIF(D313,TODAY(),"md") &amp;"Days",DATEDIF(D313,E313,"y")&amp; "Years" &amp;DATEDIF(D313,E313,"ym")&amp; "Months"&amp;DATEDIF(D313,E313,"md") &amp;"Days")</f>
        <v>13Years5Months27Days</v>
      </c>
      <c r="G313" s="1" t="s">
        <v>25</v>
      </c>
      <c r="H313" s="2">
        <v>28106</v>
      </c>
      <c r="I313" s="7">
        <v>3</v>
      </c>
      <c r="J313" s="7">
        <v>2</v>
      </c>
      <c r="K313" s="7">
        <v>1</v>
      </c>
      <c r="L313" s="7">
        <v>2</v>
      </c>
      <c r="M313" s="7">
        <v>2</v>
      </c>
      <c r="N313" s="1">
        <f t="shared" si="36"/>
        <v>2</v>
      </c>
      <c r="O313" s="1" t="str">
        <f t="shared" si="35"/>
        <v>Meets Expectations</v>
      </c>
    </row>
    <row r="314" spans="1:15" x14ac:dyDescent="0.55000000000000004">
      <c r="A314" s="3">
        <v>1238911313</v>
      </c>
      <c r="B314" s="1" t="s">
        <v>12</v>
      </c>
      <c r="C314" s="6">
        <v>30223</v>
      </c>
      <c r="D314" s="6">
        <v>43481</v>
      </c>
      <c r="E314" s="6"/>
      <c r="F314" s="6"/>
      <c r="G314" s="1" t="s">
        <v>36</v>
      </c>
      <c r="H314" s="2">
        <v>73149.7</v>
      </c>
      <c r="I314" s="7">
        <v>1</v>
      </c>
      <c r="J314" s="7">
        <v>1</v>
      </c>
      <c r="K314" s="7">
        <v>3</v>
      </c>
      <c r="L314" s="7">
        <v>1</v>
      </c>
      <c r="M314" s="7">
        <v>2</v>
      </c>
      <c r="N314" s="1">
        <f t="shared" si="36"/>
        <v>2</v>
      </c>
      <c r="O314" s="1" t="str">
        <f t="shared" si="35"/>
        <v>Meets Expectations</v>
      </c>
    </row>
    <row r="315" spans="1:15" x14ac:dyDescent="0.55000000000000004">
      <c r="A315" s="3">
        <v>1238911314</v>
      </c>
      <c r="B315" s="1" t="s">
        <v>12</v>
      </c>
      <c r="C315" s="6">
        <v>30233</v>
      </c>
      <c r="D315" s="6">
        <v>41741</v>
      </c>
      <c r="E315" s="6"/>
      <c r="F315" s="6"/>
      <c r="G315" s="1" t="s">
        <v>131</v>
      </c>
      <c r="H315" s="2">
        <v>156250</v>
      </c>
      <c r="I315" s="7">
        <v>3</v>
      </c>
      <c r="J315" s="7">
        <v>3</v>
      </c>
      <c r="K315" s="7">
        <v>3</v>
      </c>
      <c r="L315" s="7">
        <v>2</v>
      </c>
      <c r="M315" s="7">
        <v>2</v>
      </c>
      <c r="N315" s="1">
        <f t="shared" si="36"/>
        <v>3</v>
      </c>
      <c r="O315" s="1" t="str">
        <f t="shared" si="35"/>
        <v>Exceeds Expectations</v>
      </c>
    </row>
    <row r="316" spans="1:15" x14ac:dyDescent="0.55000000000000004">
      <c r="A316" s="3">
        <v>1238911315</v>
      </c>
      <c r="B316" s="1" t="s">
        <v>14</v>
      </c>
      <c r="C316" s="6">
        <v>30235</v>
      </c>
      <c r="D316" s="6">
        <v>43156</v>
      </c>
      <c r="E316" s="6">
        <v>45427</v>
      </c>
      <c r="F316" s="6"/>
      <c r="G316" s="1" t="s">
        <v>132</v>
      </c>
      <c r="H316" s="2">
        <v>52494</v>
      </c>
      <c r="I316" s="7">
        <v>2</v>
      </c>
      <c r="J316" s="7">
        <v>3</v>
      </c>
      <c r="K316" s="7">
        <v>1</v>
      </c>
      <c r="L316" s="7">
        <v>1</v>
      </c>
      <c r="M316" s="7">
        <v>3</v>
      </c>
      <c r="N316" s="1">
        <f t="shared" si="36"/>
        <v>2</v>
      </c>
      <c r="O316" s="1" t="str">
        <f t="shared" si="35"/>
        <v>Meets Expectations</v>
      </c>
    </row>
    <row r="317" spans="1:15" x14ac:dyDescent="0.55000000000000004">
      <c r="A317" s="3">
        <v>1238911316</v>
      </c>
      <c r="B317" s="1" t="s">
        <v>14</v>
      </c>
      <c r="C317" s="6">
        <v>30237</v>
      </c>
      <c r="D317" s="6">
        <v>40713</v>
      </c>
      <c r="E317" s="6"/>
      <c r="F317" s="15" t="str">
        <f t="shared" ref="F317:F320" ca="1" si="40">IF(E317="",DATEDIF(D317,TODAY(),"y")&amp; "Years" &amp;DATEDIF(D317,TODAY(),"ym")&amp; "Months"&amp;DATEDIF(D317,TODAY(),"md") &amp;"Days",DATEDIF(D317,E317,"y")&amp; "Years" &amp;DATEDIF(D317,E317,"ym")&amp; "Months"&amp;DATEDIF(D317,E317,"md") &amp;"Days")</f>
        <v>14Years10Months24Days</v>
      </c>
      <c r="G317" s="1" t="s">
        <v>25</v>
      </c>
      <c r="H317" s="2">
        <v>30264</v>
      </c>
      <c r="I317" s="7">
        <v>2</v>
      </c>
      <c r="J317" s="7">
        <v>2</v>
      </c>
      <c r="K317" s="7">
        <v>2</v>
      </c>
      <c r="L317" s="7">
        <v>2</v>
      </c>
      <c r="M317" s="7">
        <v>1</v>
      </c>
      <c r="N317" s="1">
        <f t="shared" si="36"/>
        <v>2</v>
      </c>
      <c r="O317" s="1" t="str">
        <f t="shared" si="35"/>
        <v>Meets Expectations</v>
      </c>
    </row>
    <row r="318" spans="1:15" x14ac:dyDescent="0.55000000000000004">
      <c r="A318" s="3">
        <v>1238911317</v>
      </c>
      <c r="B318" s="1" t="s">
        <v>14</v>
      </c>
      <c r="C318" s="6">
        <v>30282</v>
      </c>
      <c r="D318" s="6">
        <v>42468</v>
      </c>
      <c r="E318" s="6"/>
      <c r="F318" s="15" t="str">
        <f t="shared" ca="1" si="40"/>
        <v>10Years1Months5Days</v>
      </c>
      <c r="G318" s="1" t="s">
        <v>25</v>
      </c>
      <c r="H318" s="2">
        <v>29276.25</v>
      </c>
      <c r="I318" s="7">
        <v>3</v>
      </c>
      <c r="J318" s="7">
        <v>1</v>
      </c>
      <c r="K318" s="7">
        <v>2</v>
      </c>
      <c r="L318" s="7">
        <v>2</v>
      </c>
      <c r="M318" s="7">
        <v>2</v>
      </c>
      <c r="N318" s="1">
        <f t="shared" si="36"/>
        <v>2</v>
      </c>
      <c r="O318" s="1" t="str">
        <f t="shared" si="35"/>
        <v>Meets Expectations</v>
      </c>
    </row>
    <row r="319" spans="1:15" x14ac:dyDescent="0.55000000000000004">
      <c r="A319" s="3">
        <v>1238911318</v>
      </c>
      <c r="B319" s="1" t="s">
        <v>14</v>
      </c>
      <c r="C319" s="6">
        <v>30282</v>
      </c>
      <c r="D319" s="6">
        <v>42468</v>
      </c>
      <c r="E319" s="6"/>
      <c r="F319" s="15" t="str">
        <f t="shared" ca="1" si="40"/>
        <v>10Years1Months5Days</v>
      </c>
      <c r="G319" s="1" t="s">
        <v>25</v>
      </c>
      <c r="H319" s="2">
        <v>29276.25</v>
      </c>
      <c r="I319" s="7">
        <v>2</v>
      </c>
      <c r="J319" s="7">
        <v>3</v>
      </c>
      <c r="K319" s="7">
        <v>2</v>
      </c>
      <c r="L319" s="7">
        <v>3</v>
      </c>
      <c r="M319" s="7">
        <v>3</v>
      </c>
      <c r="N319" s="1">
        <f t="shared" si="36"/>
        <v>3</v>
      </c>
      <c r="O319" s="1" t="str">
        <f t="shared" si="35"/>
        <v>Exceeds Expectations</v>
      </c>
    </row>
    <row r="320" spans="1:15" x14ac:dyDescent="0.55000000000000004">
      <c r="A320" s="3">
        <v>1238911319</v>
      </c>
      <c r="B320" s="1" t="s">
        <v>14</v>
      </c>
      <c r="C320" s="6">
        <v>30298</v>
      </c>
      <c r="D320" s="6">
        <v>45109</v>
      </c>
      <c r="E320" s="6">
        <v>45889</v>
      </c>
      <c r="F320" s="15" t="str">
        <f t="shared" ca="1" si="40"/>
        <v>2Years1Months18Days</v>
      </c>
      <c r="G320" s="1" t="s">
        <v>13</v>
      </c>
      <c r="H320" s="2">
        <v>31200</v>
      </c>
      <c r="I320" s="7">
        <v>3</v>
      </c>
      <c r="J320" s="7">
        <v>2</v>
      </c>
      <c r="K320" s="7">
        <v>3</v>
      </c>
      <c r="L320" s="7">
        <v>3</v>
      </c>
      <c r="M320" s="7">
        <v>3</v>
      </c>
      <c r="N320" s="1">
        <f t="shared" si="36"/>
        <v>3</v>
      </c>
      <c r="O320" s="1" t="str">
        <f t="shared" si="35"/>
        <v>Exceeds Expectations</v>
      </c>
    </row>
    <row r="321" spans="1:15" x14ac:dyDescent="0.55000000000000004">
      <c r="A321" s="3">
        <v>1238911320</v>
      </c>
      <c r="B321" s="1" t="s">
        <v>12</v>
      </c>
      <c r="C321" s="6">
        <v>30310</v>
      </c>
      <c r="D321" s="6">
        <v>44561</v>
      </c>
      <c r="E321" s="6">
        <v>44741</v>
      </c>
      <c r="F321" s="6"/>
      <c r="G321" s="1" t="s">
        <v>133</v>
      </c>
      <c r="H321" s="2">
        <v>32396</v>
      </c>
      <c r="I321" s="7">
        <v>2</v>
      </c>
      <c r="J321" s="7">
        <v>2</v>
      </c>
      <c r="K321" s="7">
        <v>3</v>
      </c>
      <c r="L321" s="7">
        <v>3</v>
      </c>
      <c r="M321" s="7">
        <v>1</v>
      </c>
      <c r="N321" s="1">
        <f t="shared" si="36"/>
        <v>2</v>
      </c>
      <c r="O321" s="1" t="str">
        <f t="shared" si="35"/>
        <v>Meets Expectations</v>
      </c>
    </row>
    <row r="322" spans="1:15" x14ac:dyDescent="0.55000000000000004">
      <c r="A322" s="3">
        <v>1238911321</v>
      </c>
      <c r="B322" s="1" t="s">
        <v>14</v>
      </c>
      <c r="C322" s="6">
        <v>30310</v>
      </c>
      <c r="D322" s="6">
        <v>43280</v>
      </c>
      <c r="E322" s="6"/>
      <c r="F322" s="15" t="str">
        <f ca="1">IF(E322="",DATEDIF(D322,TODAY(),"y")&amp; "Years" &amp;DATEDIF(D322,TODAY(),"ym")&amp; "Months"&amp;DATEDIF(D322,TODAY(),"md") &amp;"Days",DATEDIF(D322,E322,"y")&amp; "Years" &amp;DATEDIF(D322,E322,"ym")&amp; "Months"&amp;DATEDIF(D322,E322,"md") &amp;"Days")</f>
        <v>7Years10Months14Days</v>
      </c>
      <c r="G322" s="1" t="s">
        <v>74</v>
      </c>
      <c r="H322" s="2">
        <v>49997.5</v>
      </c>
      <c r="I322" s="7">
        <v>3</v>
      </c>
      <c r="J322" s="7">
        <v>3</v>
      </c>
      <c r="K322" s="7">
        <v>3</v>
      </c>
      <c r="L322" s="7">
        <v>1</v>
      </c>
      <c r="M322" s="7">
        <v>1</v>
      </c>
      <c r="N322" s="1">
        <f t="shared" si="36"/>
        <v>2</v>
      </c>
      <c r="O322" s="1" t="str">
        <f t="shared" si="35"/>
        <v>Meets Expectations</v>
      </c>
    </row>
    <row r="323" spans="1:15" x14ac:dyDescent="0.55000000000000004">
      <c r="A323" s="3">
        <v>1238911322</v>
      </c>
      <c r="B323" s="1" t="s">
        <v>14</v>
      </c>
      <c r="C323" s="6">
        <v>30342</v>
      </c>
      <c r="D323" s="6">
        <v>44046</v>
      </c>
      <c r="E323" s="6">
        <v>44849</v>
      </c>
      <c r="F323" s="6"/>
      <c r="G323" s="1" t="s">
        <v>63</v>
      </c>
      <c r="H323" s="2">
        <v>87922.574999999997</v>
      </c>
      <c r="I323" s="7">
        <v>3</v>
      </c>
      <c r="J323" s="7">
        <v>3</v>
      </c>
      <c r="K323" s="7">
        <v>2</v>
      </c>
      <c r="L323" s="7">
        <v>2</v>
      </c>
      <c r="M323" s="7">
        <v>2</v>
      </c>
      <c r="N323" s="1">
        <f t="shared" si="36"/>
        <v>2</v>
      </c>
      <c r="O323" s="1" t="str">
        <f t="shared" si="35"/>
        <v>Meets Expectations</v>
      </c>
    </row>
    <row r="324" spans="1:15" x14ac:dyDescent="0.55000000000000004">
      <c r="A324" s="3">
        <v>1238911323</v>
      </c>
      <c r="B324" s="1" t="s">
        <v>12</v>
      </c>
      <c r="C324" s="6">
        <v>30348</v>
      </c>
      <c r="D324" s="6">
        <v>44885</v>
      </c>
      <c r="E324" s="6"/>
      <c r="F324" s="6"/>
      <c r="G324" s="1" t="s">
        <v>134</v>
      </c>
      <c r="H324" s="2">
        <v>68750</v>
      </c>
      <c r="I324" s="7">
        <v>2</v>
      </c>
      <c r="J324" s="7">
        <v>2</v>
      </c>
      <c r="K324" s="7">
        <v>1</v>
      </c>
      <c r="L324" s="7">
        <v>2</v>
      </c>
      <c r="M324" s="7">
        <v>1</v>
      </c>
      <c r="N324" s="1">
        <f t="shared" si="36"/>
        <v>2</v>
      </c>
      <c r="O324" s="1" t="str">
        <f t="shared" ref="O324:O387" si="41">IF(N324=1,"Below Expectations",IF(N324=2,"Meets Expectations","Exceeds Expectations"))</f>
        <v>Meets Expectations</v>
      </c>
    </row>
    <row r="325" spans="1:15" x14ac:dyDescent="0.55000000000000004">
      <c r="A325" s="3">
        <v>1238911324</v>
      </c>
      <c r="B325" s="1" t="s">
        <v>14</v>
      </c>
      <c r="C325" s="6">
        <v>30367</v>
      </c>
      <c r="D325" s="6">
        <v>45298</v>
      </c>
      <c r="E325" s="6">
        <v>45833</v>
      </c>
      <c r="F325" s="15" t="str">
        <f t="shared" ref="F325:F327" ca="1" si="42">IF(E325="",DATEDIF(D325,TODAY(),"y")&amp; "Years" &amp;DATEDIF(D325,TODAY(),"ym")&amp; "Months"&amp;DATEDIF(D325,TODAY(),"md") &amp;"Days",DATEDIF(D325,E325,"y")&amp; "Years" &amp;DATEDIF(D325,E325,"ym")&amp; "Months"&amp;DATEDIF(D325,E325,"md") &amp;"Days")</f>
        <v>1Years5Months18Days</v>
      </c>
      <c r="G325" s="1" t="s">
        <v>13</v>
      </c>
      <c r="H325" s="2">
        <v>29354</v>
      </c>
      <c r="I325" s="7">
        <v>1</v>
      </c>
      <c r="J325" s="7">
        <v>1</v>
      </c>
      <c r="K325" s="7">
        <v>3</v>
      </c>
      <c r="L325" s="7">
        <v>3</v>
      </c>
      <c r="M325" s="7">
        <v>3</v>
      </c>
      <c r="N325" s="1">
        <f t="shared" si="36"/>
        <v>2</v>
      </c>
      <c r="O325" s="1" t="str">
        <f t="shared" si="41"/>
        <v>Meets Expectations</v>
      </c>
    </row>
    <row r="326" spans="1:15" x14ac:dyDescent="0.55000000000000004">
      <c r="A326" s="3">
        <v>1238911325</v>
      </c>
      <c r="B326" s="1" t="s">
        <v>14</v>
      </c>
      <c r="C326" s="6">
        <v>30367</v>
      </c>
      <c r="D326" s="6">
        <v>42669</v>
      </c>
      <c r="E326" s="6"/>
      <c r="F326" s="15" t="str">
        <f t="shared" ca="1" si="42"/>
        <v>9Years6Months17Days</v>
      </c>
      <c r="G326" s="1" t="s">
        <v>13</v>
      </c>
      <c r="H326" s="2">
        <v>29354</v>
      </c>
      <c r="I326" s="7">
        <v>3</v>
      </c>
      <c r="J326" s="7">
        <v>3</v>
      </c>
      <c r="K326" s="7">
        <v>3</v>
      </c>
      <c r="L326" s="7">
        <v>1</v>
      </c>
      <c r="M326" s="7">
        <v>1</v>
      </c>
      <c r="N326" s="1">
        <f t="shared" si="36"/>
        <v>2</v>
      </c>
      <c r="O326" s="1" t="str">
        <f t="shared" si="41"/>
        <v>Meets Expectations</v>
      </c>
    </row>
    <row r="327" spans="1:15" x14ac:dyDescent="0.55000000000000004">
      <c r="A327" s="3">
        <v>1238911326</v>
      </c>
      <c r="B327" s="1" t="s">
        <v>14</v>
      </c>
      <c r="C327" s="6">
        <v>30419</v>
      </c>
      <c r="D327" s="6">
        <v>45162</v>
      </c>
      <c r="E327" s="6">
        <v>45547</v>
      </c>
      <c r="F327" s="15" t="str">
        <f t="shared" ca="1" si="42"/>
        <v>1Years0Months19Days</v>
      </c>
      <c r="G327" s="1" t="s">
        <v>44</v>
      </c>
      <c r="H327" s="2">
        <v>28695</v>
      </c>
      <c r="I327" s="7">
        <v>2</v>
      </c>
      <c r="J327" s="7">
        <v>3</v>
      </c>
      <c r="K327" s="7">
        <v>3</v>
      </c>
      <c r="L327" s="7">
        <v>2</v>
      </c>
      <c r="M327" s="7">
        <v>1</v>
      </c>
      <c r="N327" s="1">
        <f t="shared" si="36"/>
        <v>2</v>
      </c>
      <c r="O327" s="1" t="str">
        <f t="shared" si="41"/>
        <v>Meets Expectations</v>
      </c>
    </row>
    <row r="328" spans="1:15" x14ac:dyDescent="0.55000000000000004">
      <c r="A328" s="3">
        <v>1238911327</v>
      </c>
      <c r="B328" s="1" t="s">
        <v>12</v>
      </c>
      <c r="C328" s="6">
        <v>30427</v>
      </c>
      <c r="D328" s="6">
        <v>42740</v>
      </c>
      <c r="E328" s="6"/>
      <c r="F328" s="6"/>
      <c r="G328" s="1" t="s">
        <v>135</v>
      </c>
      <c r="H328" s="2">
        <v>112500</v>
      </c>
      <c r="I328" s="7">
        <v>2</v>
      </c>
      <c r="J328" s="7">
        <v>2</v>
      </c>
      <c r="K328" s="7">
        <v>3</v>
      </c>
      <c r="L328" s="7">
        <v>2</v>
      </c>
      <c r="M328" s="7">
        <v>2</v>
      </c>
      <c r="N328" s="1">
        <f t="shared" ref="N328:N391" si="43">ROUND(AVERAGE(I328:M328),0)</f>
        <v>2</v>
      </c>
      <c r="O328" s="1" t="str">
        <f t="shared" si="41"/>
        <v>Meets Expectations</v>
      </c>
    </row>
    <row r="329" spans="1:15" x14ac:dyDescent="0.55000000000000004">
      <c r="A329" s="3">
        <v>1238911328</v>
      </c>
      <c r="B329" s="1" t="s">
        <v>12</v>
      </c>
      <c r="C329" s="6">
        <v>30438</v>
      </c>
      <c r="D329" s="6">
        <v>44034</v>
      </c>
      <c r="E329" s="6"/>
      <c r="F329" s="6"/>
      <c r="G329" s="1" t="s">
        <v>136</v>
      </c>
      <c r="H329" s="2">
        <v>90750</v>
      </c>
      <c r="I329" s="7">
        <v>2</v>
      </c>
      <c r="J329" s="7">
        <v>3</v>
      </c>
      <c r="K329" s="7">
        <v>3</v>
      </c>
      <c r="L329" s="7">
        <v>1</v>
      </c>
      <c r="M329" s="7">
        <v>1</v>
      </c>
      <c r="N329" s="1">
        <f t="shared" si="43"/>
        <v>2</v>
      </c>
      <c r="O329" s="1" t="str">
        <f t="shared" si="41"/>
        <v>Meets Expectations</v>
      </c>
    </row>
    <row r="330" spans="1:15" x14ac:dyDescent="0.55000000000000004">
      <c r="A330" s="3">
        <v>1238911329</v>
      </c>
      <c r="B330" s="1" t="s">
        <v>14</v>
      </c>
      <c r="C330" s="6">
        <v>30471</v>
      </c>
      <c r="D330" s="6">
        <v>39554</v>
      </c>
      <c r="E330" s="6"/>
      <c r="F330" s="6"/>
      <c r="G330" s="1" t="s">
        <v>73</v>
      </c>
      <c r="H330" s="2">
        <v>59193.549999999996</v>
      </c>
      <c r="I330" s="7">
        <v>1</v>
      </c>
      <c r="J330" s="7">
        <v>3</v>
      </c>
      <c r="K330" s="7">
        <v>1</v>
      </c>
      <c r="L330" s="7">
        <v>3</v>
      </c>
      <c r="M330" s="7">
        <v>1</v>
      </c>
      <c r="N330" s="1">
        <f t="shared" si="43"/>
        <v>2</v>
      </c>
      <c r="O330" s="1" t="str">
        <f t="shared" si="41"/>
        <v>Meets Expectations</v>
      </c>
    </row>
    <row r="331" spans="1:15" x14ac:dyDescent="0.55000000000000004">
      <c r="A331" s="3">
        <v>1238911330</v>
      </c>
      <c r="B331" s="1" t="s">
        <v>12</v>
      </c>
      <c r="C331" s="6">
        <v>30473</v>
      </c>
      <c r="D331" s="6">
        <v>44084</v>
      </c>
      <c r="E331" s="6"/>
      <c r="F331" s="6"/>
      <c r="G331" s="1" t="s">
        <v>13</v>
      </c>
      <c r="H331" s="2">
        <v>36400</v>
      </c>
      <c r="I331" s="7">
        <v>3</v>
      </c>
      <c r="J331" s="7">
        <v>2</v>
      </c>
      <c r="K331" s="7">
        <v>3</v>
      </c>
      <c r="L331" s="7">
        <v>3</v>
      </c>
      <c r="M331" s="7">
        <v>3</v>
      </c>
      <c r="N331" s="1">
        <f t="shared" si="43"/>
        <v>3</v>
      </c>
      <c r="O331" s="1" t="str">
        <f t="shared" si="41"/>
        <v>Exceeds Expectations</v>
      </c>
    </row>
    <row r="332" spans="1:15" x14ac:dyDescent="0.55000000000000004">
      <c r="A332" s="3">
        <v>1238911331</v>
      </c>
      <c r="B332" s="1" t="s">
        <v>14</v>
      </c>
      <c r="C332" s="6">
        <v>30495</v>
      </c>
      <c r="D332" s="6">
        <v>41966</v>
      </c>
      <c r="E332" s="6">
        <v>44734</v>
      </c>
      <c r="F332" s="15" t="str">
        <f ca="1">IF(E332="",DATEDIF(D332,TODAY(),"y")&amp; "Years" &amp;DATEDIF(D332,TODAY(),"ym")&amp; "Months"&amp;DATEDIF(D332,TODAY(),"md") &amp;"Days",DATEDIF(D332,E332,"y")&amp; "Years" &amp;DATEDIF(D332,E332,"ym")&amp; "Months"&amp;DATEDIF(D332,E332,"md") &amp;"Days")</f>
        <v>7Years6Months30Days</v>
      </c>
      <c r="G332" s="1" t="s">
        <v>25</v>
      </c>
      <c r="H332" s="2">
        <v>26520</v>
      </c>
      <c r="I332" s="7">
        <v>3</v>
      </c>
      <c r="J332" s="7">
        <v>1</v>
      </c>
      <c r="K332" s="7">
        <v>2</v>
      </c>
      <c r="L332" s="7">
        <v>1</v>
      </c>
      <c r="M332" s="7">
        <v>2</v>
      </c>
      <c r="N332" s="1">
        <f t="shared" si="43"/>
        <v>2</v>
      </c>
      <c r="O332" s="1" t="str">
        <f t="shared" si="41"/>
        <v>Meets Expectations</v>
      </c>
    </row>
    <row r="333" spans="1:15" x14ac:dyDescent="0.55000000000000004">
      <c r="A333" s="3">
        <v>1238911332</v>
      </c>
      <c r="B333" s="1" t="s">
        <v>14</v>
      </c>
      <c r="C333" s="6">
        <v>30508</v>
      </c>
      <c r="D333" s="6">
        <v>45724</v>
      </c>
      <c r="G333" s="1" t="s">
        <v>137</v>
      </c>
      <c r="H333" s="2">
        <v>56263.75</v>
      </c>
      <c r="I333" s="7">
        <v>2</v>
      </c>
      <c r="J333" s="7">
        <v>3</v>
      </c>
      <c r="K333" s="7">
        <v>3</v>
      </c>
      <c r="L333" s="7">
        <v>1</v>
      </c>
      <c r="M333" s="7">
        <v>3</v>
      </c>
      <c r="N333" s="1">
        <f t="shared" si="43"/>
        <v>2</v>
      </c>
      <c r="O333" s="1" t="str">
        <f t="shared" si="41"/>
        <v>Meets Expectations</v>
      </c>
    </row>
    <row r="334" spans="1:15" x14ac:dyDescent="0.55000000000000004">
      <c r="A334" s="3">
        <v>1238911333</v>
      </c>
      <c r="B334" s="1" t="s">
        <v>12</v>
      </c>
      <c r="C334" s="6">
        <v>30558</v>
      </c>
      <c r="D334" s="6">
        <v>42112</v>
      </c>
      <c r="E334" s="6"/>
      <c r="F334" s="6"/>
      <c r="G334" s="1" t="s">
        <v>68</v>
      </c>
      <c r="H334" s="2">
        <v>68750</v>
      </c>
      <c r="I334" s="7">
        <v>1</v>
      </c>
      <c r="J334" s="7">
        <v>3</v>
      </c>
      <c r="K334" s="7">
        <v>1</v>
      </c>
      <c r="L334" s="7">
        <v>3</v>
      </c>
      <c r="M334" s="7">
        <v>1</v>
      </c>
      <c r="N334" s="1">
        <f t="shared" si="43"/>
        <v>2</v>
      </c>
      <c r="O334" s="1" t="str">
        <f t="shared" si="41"/>
        <v>Meets Expectations</v>
      </c>
    </row>
    <row r="335" spans="1:15" x14ac:dyDescent="0.55000000000000004">
      <c r="A335" s="3">
        <v>1238911334</v>
      </c>
      <c r="B335" s="1" t="s">
        <v>12</v>
      </c>
      <c r="C335" s="6">
        <v>30631</v>
      </c>
      <c r="D335" s="6">
        <v>44580</v>
      </c>
      <c r="E335" s="6">
        <v>44805</v>
      </c>
      <c r="F335" s="6"/>
      <c r="G335" s="1" t="s">
        <v>138</v>
      </c>
      <c r="H335" s="2">
        <v>90176.25</v>
      </c>
      <c r="I335" s="7">
        <v>2</v>
      </c>
      <c r="J335" s="7">
        <v>1</v>
      </c>
      <c r="K335" s="7">
        <v>2</v>
      </c>
      <c r="L335" s="7">
        <v>3</v>
      </c>
      <c r="M335" s="7">
        <v>2</v>
      </c>
      <c r="N335" s="1">
        <f t="shared" si="43"/>
        <v>2</v>
      </c>
      <c r="O335" s="1" t="str">
        <f t="shared" si="41"/>
        <v>Meets Expectations</v>
      </c>
    </row>
    <row r="336" spans="1:15" x14ac:dyDescent="0.55000000000000004">
      <c r="A336" s="3">
        <v>1238911335</v>
      </c>
      <c r="B336" s="1" t="s">
        <v>12</v>
      </c>
      <c r="C336" s="6">
        <v>30659</v>
      </c>
      <c r="D336" s="6">
        <v>41346</v>
      </c>
      <c r="E336" s="6"/>
      <c r="F336" s="6"/>
      <c r="G336" s="1" t="s">
        <v>139</v>
      </c>
      <c r="H336" s="2">
        <v>112500</v>
      </c>
      <c r="I336" s="7">
        <v>2</v>
      </c>
      <c r="J336" s="7">
        <v>2</v>
      </c>
      <c r="K336" s="7">
        <v>2</v>
      </c>
      <c r="L336" s="7">
        <v>3</v>
      </c>
      <c r="M336" s="7">
        <v>2</v>
      </c>
      <c r="N336" s="1">
        <f t="shared" si="43"/>
        <v>2</v>
      </c>
      <c r="O336" s="1" t="str">
        <f t="shared" si="41"/>
        <v>Meets Expectations</v>
      </c>
    </row>
    <row r="337" spans="1:15" x14ac:dyDescent="0.55000000000000004">
      <c r="A337" s="3">
        <v>1238911336</v>
      </c>
      <c r="B337" s="1" t="s">
        <v>12</v>
      </c>
      <c r="C337" s="6">
        <v>30680</v>
      </c>
      <c r="D337" s="6">
        <v>42935</v>
      </c>
      <c r="E337" s="6"/>
      <c r="F337" s="6"/>
      <c r="G337" s="1" t="s">
        <v>25</v>
      </c>
      <c r="H337" s="2">
        <v>26000</v>
      </c>
      <c r="I337" s="7">
        <v>2</v>
      </c>
      <c r="J337" s="7">
        <v>2</v>
      </c>
      <c r="K337" s="7">
        <v>3</v>
      </c>
      <c r="L337" s="7">
        <v>1</v>
      </c>
      <c r="M337" s="7">
        <v>1</v>
      </c>
      <c r="N337" s="1">
        <f t="shared" si="43"/>
        <v>2</v>
      </c>
      <c r="O337" s="1" t="str">
        <f t="shared" si="41"/>
        <v>Meets Expectations</v>
      </c>
    </row>
    <row r="338" spans="1:15" x14ac:dyDescent="0.55000000000000004">
      <c r="A338" s="3">
        <v>1238911337</v>
      </c>
      <c r="B338" s="1" t="s">
        <v>12</v>
      </c>
      <c r="C338" s="6">
        <v>30684</v>
      </c>
      <c r="D338" s="6">
        <v>44152</v>
      </c>
      <c r="E338" s="6"/>
      <c r="F338" s="6"/>
      <c r="G338" s="1" t="s">
        <v>43</v>
      </c>
      <c r="H338" s="2">
        <v>31200</v>
      </c>
      <c r="I338" s="7">
        <v>2</v>
      </c>
      <c r="J338" s="7">
        <v>3</v>
      </c>
      <c r="K338" s="7">
        <v>3</v>
      </c>
      <c r="L338" s="7">
        <v>1</v>
      </c>
      <c r="M338" s="7">
        <v>2</v>
      </c>
      <c r="N338" s="1">
        <f t="shared" si="43"/>
        <v>2</v>
      </c>
      <c r="O338" s="1" t="str">
        <f t="shared" si="41"/>
        <v>Meets Expectations</v>
      </c>
    </row>
    <row r="339" spans="1:15" x14ac:dyDescent="0.55000000000000004">
      <c r="A339" s="3">
        <v>1238911338</v>
      </c>
      <c r="B339" s="1" t="s">
        <v>12</v>
      </c>
      <c r="C339" s="6">
        <v>30727</v>
      </c>
      <c r="D339" s="6">
        <v>41229</v>
      </c>
      <c r="E339" s="6"/>
      <c r="F339" s="6"/>
      <c r="G339" s="1" t="s">
        <v>140</v>
      </c>
      <c r="H339" s="2">
        <v>76492</v>
      </c>
      <c r="I339" s="7">
        <v>3</v>
      </c>
      <c r="J339" s="7">
        <v>2</v>
      </c>
      <c r="K339" s="7">
        <v>1</v>
      </c>
      <c r="L339" s="7">
        <v>3</v>
      </c>
      <c r="M339" s="7">
        <v>3</v>
      </c>
      <c r="N339" s="1">
        <f t="shared" si="43"/>
        <v>2</v>
      </c>
      <c r="O339" s="1" t="str">
        <f t="shared" si="41"/>
        <v>Meets Expectations</v>
      </c>
    </row>
    <row r="340" spans="1:15" x14ac:dyDescent="0.55000000000000004">
      <c r="A340" s="3">
        <v>1238911339</v>
      </c>
      <c r="B340" s="1" t="s">
        <v>12</v>
      </c>
      <c r="C340" s="6">
        <v>30732</v>
      </c>
      <c r="D340" s="6">
        <v>38961</v>
      </c>
      <c r="E340" s="6"/>
      <c r="F340" s="6"/>
      <c r="G340" s="1" t="s">
        <v>107</v>
      </c>
      <c r="H340" s="2">
        <v>35724</v>
      </c>
      <c r="I340" s="7">
        <v>3</v>
      </c>
      <c r="J340" s="7">
        <v>1</v>
      </c>
      <c r="K340" s="7">
        <v>3</v>
      </c>
      <c r="L340" s="7">
        <v>3</v>
      </c>
      <c r="M340" s="7">
        <v>1</v>
      </c>
      <c r="N340" s="1">
        <f t="shared" si="43"/>
        <v>2</v>
      </c>
      <c r="O340" s="1" t="str">
        <f t="shared" si="41"/>
        <v>Meets Expectations</v>
      </c>
    </row>
    <row r="341" spans="1:15" x14ac:dyDescent="0.55000000000000004">
      <c r="A341" s="3">
        <v>1238911340</v>
      </c>
      <c r="B341" s="1" t="s">
        <v>14</v>
      </c>
      <c r="C341" s="6">
        <v>30747</v>
      </c>
      <c r="D341" s="6">
        <v>43189</v>
      </c>
      <c r="E341" s="6">
        <v>43968</v>
      </c>
      <c r="F341" s="15" t="str">
        <f ca="1">IF(E341="",DATEDIF(D341,TODAY(),"y")&amp; "Years" &amp;DATEDIF(D341,TODAY(),"ym")&amp; "Months"&amp;DATEDIF(D341,TODAY(),"md") &amp;"Days",DATEDIF(D341,E341,"y")&amp; "Years" &amp;DATEDIF(D341,E341,"ym")&amp; "Months"&amp;DATEDIF(D341,E341,"md") &amp;"Days")</f>
        <v>2Years1Months17Days</v>
      </c>
      <c r="G341" s="1" t="s">
        <v>107</v>
      </c>
      <c r="H341" s="2">
        <v>32994</v>
      </c>
      <c r="I341" s="7">
        <v>1</v>
      </c>
      <c r="J341" s="7">
        <v>3</v>
      </c>
      <c r="K341" s="7">
        <v>2</v>
      </c>
      <c r="L341" s="7">
        <v>1</v>
      </c>
      <c r="M341" s="7">
        <v>3</v>
      </c>
      <c r="N341" s="1">
        <f t="shared" si="43"/>
        <v>2</v>
      </c>
      <c r="O341" s="1" t="str">
        <f t="shared" si="41"/>
        <v>Meets Expectations</v>
      </c>
    </row>
    <row r="342" spans="1:15" x14ac:dyDescent="0.55000000000000004">
      <c r="A342" s="3">
        <v>1238911341</v>
      </c>
      <c r="B342" s="1" t="s">
        <v>12</v>
      </c>
      <c r="C342" s="6">
        <v>30762</v>
      </c>
      <c r="D342" s="6">
        <v>42213</v>
      </c>
      <c r="E342" s="6">
        <v>45392</v>
      </c>
      <c r="F342" s="6"/>
      <c r="G342" s="1" t="s">
        <v>141</v>
      </c>
      <c r="H342" s="2">
        <v>75000</v>
      </c>
      <c r="I342" s="7">
        <v>1</v>
      </c>
      <c r="J342" s="7">
        <v>2</v>
      </c>
      <c r="K342" s="7">
        <v>2</v>
      </c>
      <c r="L342" s="7">
        <v>2</v>
      </c>
      <c r="M342" s="7">
        <v>2</v>
      </c>
      <c r="N342" s="1">
        <f t="shared" si="43"/>
        <v>2</v>
      </c>
      <c r="O342" s="1" t="str">
        <f t="shared" si="41"/>
        <v>Meets Expectations</v>
      </c>
    </row>
    <row r="343" spans="1:15" x14ac:dyDescent="0.55000000000000004">
      <c r="A343" s="3">
        <v>1238911342</v>
      </c>
      <c r="B343" s="1" t="s">
        <v>12</v>
      </c>
      <c r="C343" s="6">
        <v>30765</v>
      </c>
      <c r="D343" s="6">
        <v>45798</v>
      </c>
      <c r="E343" s="6"/>
      <c r="F343" s="6"/>
      <c r="G343" s="1" t="s">
        <v>142</v>
      </c>
      <c r="H343" s="2">
        <v>65000</v>
      </c>
      <c r="I343" s="7">
        <v>3</v>
      </c>
      <c r="J343" s="7">
        <v>2</v>
      </c>
      <c r="K343" s="7">
        <v>3</v>
      </c>
      <c r="L343" s="7">
        <v>3</v>
      </c>
      <c r="M343" s="7">
        <v>1</v>
      </c>
      <c r="N343" s="1">
        <f t="shared" si="43"/>
        <v>2</v>
      </c>
      <c r="O343" s="1" t="str">
        <f t="shared" si="41"/>
        <v>Meets Expectations</v>
      </c>
    </row>
    <row r="344" spans="1:15" x14ac:dyDescent="0.55000000000000004">
      <c r="A344" s="3">
        <v>1238911343</v>
      </c>
      <c r="B344" s="1" t="s">
        <v>12</v>
      </c>
      <c r="C344" s="6">
        <v>30767</v>
      </c>
      <c r="D344" s="6">
        <v>43092</v>
      </c>
      <c r="E344" s="6"/>
      <c r="F344" s="6"/>
      <c r="G344" s="1" t="s">
        <v>143</v>
      </c>
      <c r="H344" s="2">
        <v>163152.27500000002</v>
      </c>
      <c r="I344" s="7">
        <v>3</v>
      </c>
      <c r="J344" s="7">
        <v>3</v>
      </c>
      <c r="K344" s="7">
        <v>2</v>
      </c>
      <c r="L344" s="7">
        <v>3</v>
      </c>
      <c r="M344" s="7">
        <v>2</v>
      </c>
      <c r="N344" s="1">
        <f t="shared" si="43"/>
        <v>3</v>
      </c>
      <c r="O344" s="1" t="str">
        <f t="shared" si="41"/>
        <v>Exceeds Expectations</v>
      </c>
    </row>
    <row r="345" spans="1:15" x14ac:dyDescent="0.55000000000000004">
      <c r="A345" s="3">
        <v>1238911344</v>
      </c>
      <c r="B345" s="1" t="s">
        <v>12</v>
      </c>
      <c r="C345" s="6">
        <v>30772</v>
      </c>
      <c r="D345" s="6">
        <v>44801</v>
      </c>
      <c r="E345" s="6">
        <v>45007</v>
      </c>
      <c r="F345" s="6"/>
      <c r="G345" s="1" t="s">
        <v>144</v>
      </c>
      <c r="H345" s="2">
        <v>68750</v>
      </c>
      <c r="I345" s="7">
        <v>2</v>
      </c>
      <c r="J345" s="7">
        <v>3</v>
      </c>
      <c r="K345" s="7">
        <v>2</v>
      </c>
      <c r="L345" s="7">
        <v>1</v>
      </c>
      <c r="M345" s="7">
        <v>3</v>
      </c>
      <c r="N345" s="1">
        <f t="shared" si="43"/>
        <v>2</v>
      </c>
      <c r="O345" s="1" t="str">
        <f t="shared" si="41"/>
        <v>Meets Expectations</v>
      </c>
    </row>
    <row r="346" spans="1:15" x14ac:dyDescent="0.55000000000000004">
      <c r="A346" s="3">
        <v>1238911345</v>
      </c>
      <c r="B346" s="1" t="s">
        <v>12</v>
      </c>
      <c r="C346" s="6">
        <v>30788</v>
      </c>
      <c r="D346" s="6">
        <v>41304</v>
      </c>
      <c r="E346" s="6"/>
      <c r="F346" s="6"/>
      <c r="G346" s="1" t="s">
        <v>145</v>
      </c>
      <c r="H346" s="2">
        <v>112500</v>
      </c>
      <c r="I346" s="7">
        <v>2</v>
      </c>
      <c r="J346" s="7">
        <v>2</v>
      </c>
      <c r="K346" s="7">
        <v>2</v>
      </c>
      <c r="L346" s="7">
        <v>2</v>
      </c>
      <c r="M346" s="7">
        <v>2</v>
      </c>
      <c r="N346" s="1">
        <f t="shared" si="43"/>
        <v>2</v>
      </c>
      <c r="O346" s="1" t="str">
        <f t="shared" si="41"/>
        <v>Meets Expectations</v>
      </c>
    </row>
    <row r="347" spans="1:15" x14ac:dyDescent="0.55000000000000004">
      <c r="A347" s="3">
        <v>1238911346</v>
      </c>
      <c r="B347" s="1" t="s">
        <v>14</v>
      </c>
      <c r="C347" s="6">
        <v>30803</v>
      </c>
      <c r="D347" s="6">
        <v>42608</v>
      </c>
      <c r="E347" s="6"/>
      <c r="F347" s="6"/>
      <c r="G347" s="1" t="s">
        <v>114</v>
      </c>
      <c r="H347" s="2">
        <v>78472.55</v>
      </c>
      <c r="I347" s="7">
        <v>2</v>
      </c>
      <c r="J347" s="7">
        <v>2</v>
      </c>
      <c r="K347" s="7">
        <v>1</v>
      </c>
      <c r="L347" s="7">
        <v>2</v>
      </c>
      <c r="M347" s="7">
        <v>3</v>
      </c>
      <c r="N347" s="1">
        <f t="shared" si="43"/>
        <v>2</v>
      </c>
      <c r="O347" s="1" t="str">
        <f t="shared" si="41"/>
        <v>Meets Expectations</v>
      </c>
    </row>
    <row r="348" spans="1:15" x14ac:dyDescent="0.55000000000000004">
      <c r="A348" s="3">
        <v>1238911347</v>
      </c>
      <c r="B348" s="1" t="s">
        <v>12</v>
      </c>
      <c r="C348" s="6">
        <v>30848</v>
      </c>
      <c r="D348" s="6">
        <v>41220</v>
      </c>
      <c r="E348" s="6"/>
      <c r="F348" s="6"/>
      <c r="G348" s="1" t="s">
        <v>146</v>
      </c>
      <c r="H348" s="2">
        <v>93750</v>
      </c>
      <c r="I348" s="7">
        <v>2</v>
      </c>
      <c r="J348" s="7">
        <v>1</v>
      </c>
      <c r="K348" s="7">
        <v>3</v>
      </c>
      <c r="L348" s="7">
        <v>1</v>
      </c>
      <c r="M348" s="7">
        <v>2</v>
      </c>
      <c r="N348" s="1">
        <f t="shared" si="43"/>
        <v>2</v>
      </c>
      <c r="O348" s="1" t="str">
        <f t="shared" si="41"/>
        <v>Meets Expectations</v>
      </c>
    </row>
    <row r="349" spans="1:15" x14ac:dyDescent="0.55000000000000004">
      <c r="A349" s="3">
        <v>1238911348</v>
      </c>
      <c r="B349" s="1" t="s">
        <v>12</v>
      </c>
      <c r="C349" s="6">
        <v>30852</v>
      </c>
      <c r="D349" s="6">
        <v>44456</v>
      </c>
      <c r="E349" s="6"/>
      <c r="F349" s="6"/>
      <c r="G349" s="1" t="s">
        <v>63</v>
      </c>
      <c r="H349" s="2">
        <v>87500</v>
      </c>
      <c r="I349" s="7">
        <v>3</v>
      </c>
      <c r="J349" s="7">
        <v>2</v>
      </c>
      <c r="K349" s="7">
        <v>2</v>
      </c>
      <c r="L349" s="7">
        <v>2</v>
      </c>
      <c r="M349" s="7">
        <v>3</v>
      </c>
      <c r="N349" s="1">
        <f t="shared" si="43"/>
        <v>2</v>
      </c>
      <c r="O349" s="1" t="str">
        <f t="shared" si="41"/>
        <v>Meets Expectations</v>
      </c>
    </row>
    <row r="350" spans="1:15" x14ac:dyDescent="0.55000000000000004">
      <c r="A350" s="3">
        <v>1238911349</v>
      </c>
      <c r="B350" s="1" t="s">
        <v>14</v>
      </c>
      <c r="C350" s="6">
        <v>30879</v>
      </c>
      <c r="D350" s="6">
        <v>42473</v>
      </c>
      <c r="E350" s="6"/>
      <c r="F350" s="6"/>
      <c r="G350" s="1" t="s">
        <v>147</v>
      </c>
      <c r="H350" s="2">
        <v>190890.05000000002</v>
      </c>
      <c r="I350" s="7">
        <v>3</v>
      </c>
      <c r="J350" s="7">
        <v>3</v>
      </c>
      <c r="K350" s="7">
        <v>2</v>
      </c>
      <c r="L350" s="7">
        <v>2</v>
      </c>
      <c r="M350" s="7">
        <v>3</v>
      </c>
      <c r="N350" s="1">
        <f t="shared" si="43"/>
        <v>3</v>
      </c>
      <c r="O350" s="1" t="str">
        <f t="shared" si="41"/>
        <v>Exceeds Expectations</v>
      </c>
    </row>
    <row r="351" spans="1:15" x14ac:dyDescent="0.55000000000000004">
      <c r="A351" s="3">
        <v>1238911350</v>
      </c>
      <c r="B351" s="1" t="s">
        <v>14</v>
      </c>
      <c r="C351" s="6">
        <v>30943</v>
      </c>
      <c r="D351" s="6">
        <v>45623</v>
      </c>
      <c r="E351" s="6"/>
      <c r="F351" s="15" t="str">
        <f ca="1">IF(E351="",DATEDIF(D351,TODAY(),"y")&amp; "Years" &amp;DATEDIF(D351,TODAY(),"ym")&amp; "Months"&amp;DATEDIF(D351,TODAY(),"md") &amp;"Days",DATEDIF(D351,E351,"y")&amp; "Years" &amp;DATEDIF(D351,E351,"ym")&amp; "Months"&amp;DATEDIF(D351,E351,"md") &amp;"Days")</f>
        <v>1Years5Months16Days</v>
      </c>
      <c r="G351" s="1" t="s">
        <v>13</v>
      </c>
      <c r="H351" s="2">
        <v>28600</v>
      </c>
      <c r="I351" s="7">
        <v>1</v>
      </c>
      <c r="J351" s="7">
        <v>2</v>
      </c>
      <c r="K351" s="7">
        <v>2</v>
      </c>
      <c r="L351" s="7">
        <v>3</v>
      </c>
      <c r="M351" s="7">
        <v>3</v>
      </c>
      <c r="N351" s="1">
        <f t="shared" si="43"/>
        <v>2</v>
      </c>
      <c r="O351" s="1" t="str">
        <f t="shared" si="41"/>
        <v>Meets Expectations</v>
      </c>
    </row>
    <row r="352" spans="1:15" x14ac:dyDescent="0.55000000000000004">
      <c r="A352" s="3">
        <v>1238911351</v>
      </c>
      <c r="B352" s="1" t="s">
        <v>12</v>
      </c>
      <c r="C352" s="6">
        <v>30944</v>
      </c>
      <c r="D352" s="6">
        <v>40986</v>
      </c>
      <c r="E352" s="6">
        <v>45737</v>
      </c>
      <c r="F352" s="6"/>
      <c r="G352" s="1" t="s">
        <v>148</v>
      </c>
      <c r="H352" s="2">
        <v>66187.875</v>
      </c>
      <c r="I352" s="7">
        <v>3</v>
      </c>
      <c r="J352" s="7">
        <v>2</v>
      </c>
      <c r="K352" s="7">
        <v>1</v>
      </c>
      <c r="L352" s="7">
        <v>3</v>
      </c>
      <c r="M352" s="7">
        <v>1</v>
      </c>
      <c r="N352" s="1">
        <f t="shared" si="43"/>
        <v>2</v>
      </c>
      <c r="O352" s="1" t="str">
        <f t="shared" si="41"/>
        <v>Meets Expectations</v>
      </c>
    </row>
    <row r="353" spans="1:15" x14ac:dyDescent="0.55000000000000004">
      <c r="A353" s="3">
        <v>1238911352</v>
      </c>
      <c r="B353" s="1" t="s">
        <v>14</v>
      </c>
      <c r="C353" s="6">
        <v>30983</v>
      </c>
      <c r="D353" s="6">
        <v>44093</v>
      </c>
      <c r="E353" s="6">
        <v>44986</v>
      </c>
      <c r="F353" s="6"/>
      <c r="G353" s="1" t="s">
        <v>144</v>
      </c>
      <c r="H353" s="2">
        <v>65000</v>
      </c>
      <c r="I353" s="7">
        <v>2</v>
      </c>
      <c r="J353" s="7">
        <v>2</v>
      </c>
      <c r="K353" s="7">
        <v>1</v>
      </c>
      <c r="L353" s="7">
        <v>1</v>
      </c>
      <c r="M353" s="7">
        <v>3</v>
      </c>
      <c r="N353" s="1">
        <f t="shared" si="43"/>
        <v>2</v>
      </c>
      <c r="O353" s="1" t="str">
        <f t="shared" si="41"/>
        <v>Meets Expectations</v>
      </c>
    </row>
    <row r="354" spans="1:15" x14ac:dyDescent="0.55000000000000004">
      <c r="A354" s="3">
        <v>1238911353</v>
      </c>
      <c r="B354" s="1" t="s">
        <v>12</v>
      </c>
      <c r="C354" s="6">
        <v>31004</v>
      </c>
      <c r="D354" s="6">
        <v>44232</v>
      </c>
      <c r="E354" s="6"/>
      <c r="F354" s="6"/>
      <c r="G354" s="1" t="s">
        <v>149</v>
      </c>
      <c r="H354" s="2">
        <v>163500.02499999999</v>
      </c>
      <c r="I354" s="7">
        <v>3</v>
      </c>
      <c r="J354" s="7">
        <v>2</v>
      </c>
      <c r="K354" s="7">
        <v>2</v>
      </c>
      <c r="L354" s="7">
        <v>3</v>
      </c>
      <c r="M354" s="7">
        <v>2</v>
      </c>
      <c r="N354" s="1">
        <f t="shared" si="43"/>
        <v>2</v>
      </c>
      <c r="O354" s="1" t="str">
        <f t="shared" si="41"/>
        <v>Meets Expectations</v>
      </c>
    </row>
    <row r="355" spans="1:15" x14ac:dyDescent="0.55000000000000004">
      <c r="A355" s="3">
        <v>1238911354</v>
      </c>
      <c r="B355" s="1" t="s">
        <v>12</v>
      </c>
      <c r="C355" s="6">
        <v>31008</v>
      </c>
      <c r="D355" s="6">
        <v>43037</v>
      </c>
      <c r="E355" s="6"/>
      <c r="F355" s="6"/>
      <c r="G355" s="1" t="s">
        <v>150</v>
      </c>
      <c r="H355" s="2">
        <v>162500</v>
      </c>
      <c r="I355" s="7">
        <v>2</v>
      </c>
      <c r="J355" s="7">
        <v>2</v>
      </c>
      <c r="K355" s="7">
        <v>2</v>
      </c>
      <c r="L355" s="7">
        <v>3</v>
      </c>
      <c r="M355" s="7">
        <v>2</v>
      </c>
      <c r="N355" s="1">
        <f t="shared" si="43"/>
        <v>2</v>
      </c>
      <c r="O355" s="1" t="str">
        <f t="shared" si="41"/>
        <v>Meets Expectations</v>
      </c>
    </row>
    <row r="356" spans="1:15" x14ac:dyDescent="0.55000000000000004">
      <c r="A356" s="3">
        <v>1238911355</v>
      </c>
      <c r="B356" s="1" t="s">
        <v>12</v>
      </c>
      <c r="C356" s="6">
        <v>31042</v>
      </c>
      <c r="D356" s="6">
        <v>44776</v>
      </c>
      <c r="E356" s="6"/>
      <c r="F356" s="6"/>
      <c r="G356" s="1" t="s">
        <v>151</v>
      </c>
      <c r="H356" s="2">
        <v>105708.85</v>
      </c>
      <c r="I356" s="7">
        <v>2</v>
      </c>
      <c r="J356" s="7">
        <v>3</v>
      </c>
      <c r="K356" s="7">
        <v>2</v>
      </c>
      <c r="L356" s="7">
        <v>3</v>
      </c>
      <c r="M356" s="7">
        <v>2</v>
      </c>
      <c r="N356" s="1">
        <f t="shared" si="43"/>
        <v>2</v>
      </c>
      <c r="O356" s="1" t="str">
        <f t="shared" si="41"/>
        <v>Meets Expectations</v>
      </c>
    </row>
    <row r="357" spans="1:15" x14ac:dyDescent="0.55000000000000004">
      <c r="A357" s="3">
        <v>1238911356</v>
      </c>
      <c r="B357" s="1" t="s">
        <v>12</v>
      </c>
      <c r="C357" s="6">
        <v>31117</v>
      </c>
      <c r="D357" s="6">
        <v>41505</v>
      </c>
      <c r="E357" s="6"/>
      <c r="F357" s="6"/>
      <c r="G357" s="1" t="s">
        <v>152</v>
      </c>
      <c r="H357" s="2">
        <v>221063.69999999998</v>
      </c>
      <c r="I357" s="7">
        <v>2</v>
      </c>
      <c r="J357" s="7">
        <v>3</v>
      </c>
      <c r="K357" s="7">
        <v>2</v>
      </c>
      <c r="L357" s="7">
        <v>2</v>
      </c>
      <c r="M357" s="7">
        <v>3</v>
      </c>
      <c r="N357" s="1">
        <f t="shared" si="43"/>
        <v>2</v>
      </c>
      <c r="O357" s="1" t="str">
        <f t="shared" si="41"/>
        <v>Meets Expectations</v>
      </c>
    </row>
    <row r="358" spans="1:15" x14ac:dyDescent="0.55000000000000004">
      <c r="A358" s="3">
        <v>1238911357</v>
      </c>
      <c r="B358" s="1" t="s">
        <v>12</v>
      </c>
      <c r="C358" s="6">
        <v>31121</v>
      </c>
      <c r="D358" s="6">
        <v>44319</v>
      </c>
      <c r="E358" s="6">
        <v>44559</v>
      </c>
      <c r="F358" s="6"/>
      <c r="G358" s="1" t="s">
        <v>153</v>
      </c>
      <c r="H358" s="2">
        <v>75000</v>
      </c>
      <c r="I358" s="7">
        <v>2</v>
      </c>
      <c r="J358" s="7">
        <v>2</v>
      </c>
      <c r="K358" s="7">
        <v>3</v>
      </c>
      <c r="L358" s="7">
        <v>2</v>
      </c>
      <c r="M358" s="7">
        <v>3</v>
      </c>
      <c r="N358" s="1">
        <f t="shared" si="43"/>
        <v>2</v>
      </c>
      <c r="O358" s="1" t="str">
        <f t="shared" si="41"/>
        <v>Meets Expectations</v>
      </c>
    </row>
    <row r="359" spans="1:15" x14ac:dyDescent="0.55000000000000004">
      <c r="A359" s="3">
        <v>1238911358</v>
      </c>
      <c r="B359" s="1" t="s">
        <v>12</v>
      </c>
      <c r="C359" s="6">
        <v>31151</v>
      </c>
      <c r="D359" s="6">
        <v>40929</v>
      </c>
      <c r="E359" s="6"/>
      <c r="F359" s="6"/>
      <c r="G359" s="1" t="s">
        <v>154</v>
      </c>
      <c r="H359" s="2">
        <v>53055.275000000001</v>
      </c>
      <c r="I359" s="7">
        <v>2</v>
      </c>
      <c r="J359" s="7">
        <v>2</v>
      </c>
      <c r="K359" s="7">
        <v>3</v>
      </c>
      <c r="L359" s="7">
        <v>2</v>
      </c>
      <c r="M359" s="7">
        <v>1</v>
      </c>
      <c r="N359" s="1">
        <f t="shared" si="43"/>
        <v>2</v>
      </c>
      <c r="O359" s="1" t="str">
        <f t="shared" si="41"/>
        <v>Meets Expectations</v>
      </c>
    </row>
    <row r="360" spans="1:15" x14ac:dyDescent="0.55000000000000004">
      <c r="A360" s="3">
        <v>1238911359</v>
      </c>
      <c r="B360" s="1" t="s">
        <v>12</v>
      </c>
      <c r="C360" s="6">
        <v>31170</v>
      </c>
      <c r="D360" s="6">
        <v>42073</v>
      </c>
      <c r="E360" s="6"/>
      <c r="F360" s="6"/>
      <c r="G360" s="1" t="s">
        <v>155</v>
      </c>
      <c r="H360" s="2">
        <v>343331.95</v>
      </c>
      <c r="I360" s="7">
        <v>3</v>
      </c>
      <c r="J360" s="7">
        <v>2</v>
      </c>
      <c r="K360" s="7">
        <v>3</v>
      </c>
      <c r="L360" s="7">
        <v>2</v>
      </c>
      <c r="M360" s="7">
        <v>3</v>
      </c>
      <c r="N360" s="1">
        <f t="shared" si="43"/>
        <v>3</v>
      </c>
      <c r="O360" s="1" t="str">
        <f t="shared" si="41"/>
        <v>Exceeds Expectations</v>
      </c>
    </row>
    <row r="361" spans="1:15" x14ac:dyDescent="0.55000000000000004">
      <c r="A361" s="3">
        <v>1238911360</v>
      </c>
      <c r="B361" s="1" t="s">
        <v>12</v>
      </c>
      <c r="C361" s="6">
        <v>31173</v>
      </c>
      <c r="D361" s="6">
        <v>44019</v>
      </c>
      <c r="E361" s="6"/>
      <c r="F361" s="6"/>
      <c r="G361" s="1" t="s">
        <v>156</v>
      </c>
      <c r="H361" s="2">
        <v>50000</v>
      </c>
      <c r="I361" s="7">
        <v>3</v>
      </c>
      <c r="J361" s="7">
        <v>3</v>
      </c>
      <c r="K361" s="7">
        <v>2</v>
      </c>
      <c r="L361" s="7">
        <v>3</v>
      </c>
      <c r="M361" s="7">
        <v>1</v>
      </c>
      <c r="N361" s="1">
        <f t="shared" si="43"/>
        <v>2</v>
      </c>
      <c r="O361" s="1" t="str">
        <f t="shared" si="41"/>
        <v>Meets Expectations</v>
      </c>
    </row>
    <row r="362" spans="1:15" x14ac:dyDescent="0.55000000000000004">
      <c r="A362" s="3">
        <v>1238911361</v>
      </c>
      <c r="B362" s="1" t="s">
        <v>12</v>
      </c>
      <c r="C362" s="6">
        <v>31247</v>
      </c>
      <c r="D362" s="6">
        <v>42204</v>
      </c>
      <c r="E362" s="6"/>
      <c r="F362" s="6"/>
      <c r="G362" s="1" t="s">
        <v>157</v>
      </c>
      <c r="H362" s="2">
        <v>101504</v>
      </c>
      <c r="I362" s="7">
        <v>2</v>
      </c>
      <c r="J362" s="7">
        <v>3</v>
      </c>
      <c r="K362" s="7">
        <v>2</v>
      </c>
      <c r="L362" s="7">
        <v>2</v>
      </c>
      <c r="M362" s="7">
        <v>3</v>
      </c>
      <c r="N362" s="1">
        <f t="shared" si="43"/>
        <v>2</v>
      </c>
      <c r="O362" s="1" t="str">
        <f t="shared" si="41"/>
        <v>Meets Expectations</v>
      </c>
    </row>
    <row r="363" spans="1:15" x14ac:dyDescent="0.55000000000000004">
      <c r="A363" s="3">
        <v>1238911362</v>
      </c>
      <c r="B363" s="1" t="s">
        <v>12</v>
      </c>
      <c r="C363" s="6">
        <v>31255</v>
      </c>
      <c r="D363" s="6">
        <v>42649</v>
      </c>
      <c r="E363" s="6"/>
      <c r="F363" s="6"/>
      <c r="G363" s="1" t="s">
        <v>158</v>
      </c>
      <c r="H363" s="2">
        <v>182000</v>
      </c>
      <c r="I363" s="7">
        <v>3</v>
      </c>
      <c r="J363" s="7">
        <v>2</v>
      </c>
      <c r="K363" s="7">
        <v>2</v>
      </c>
      <c r="L363" s="7">
        <v>3</v>
      </c>
      <c r="M363" s="7">
        <v>3</v>
      </c>
      <c r="N363" s="1">
        <f t="shared" si="43"/>
        <v>3</v>
      </c>
      <c r="O363" s="1" t="str">
        <f t="shared" si="41"/>
        <v>Exceeds Expectations</v>
      </c>
    </row>
    <row r="364" spans="1:15" x14ac:dyDescent="0.55000000000000004">
      <c r="A364" s="3">
        <v>1238911363</v>
      </c>
      <c r="B364" s="1" t="s">
        <v>12</v>
      </c>
      <c r="C364" s="6">
        <v>31275</v>
      </c>
      <c r="D364" s="6">
        <v>43404</v>
      </c>
      <c r="E364" s="6">
        <v>45234</v>
      </c>
      <c r="F364" s="6"/>
      <c r="G364" s="1" t="s">
        <v>91</v>
      </c>
      <c r="H364" s="2">
        <v>47337.9375</v>
      </c>
      <c r="I364" s="7">
        <v>1</v>
      </c>
      <c r="J364" s="7">
        <v>2</v>
      </c>
      <c r="K364" s="7">
        <v>1</v>
      </c>
      <c r="L364" s="7">
        <v>3</v>
      </c>
      <c r="M364" s="7">
        <v>1</v>
      </c>
      <c r="N364" s="1">
        <f t="shared" si="43"/>
        <v>2</v>
      </c>
      <c r="O364" s="1" t="str">
        <f t="shared" si="41"/>
        <v>Meets Expectations</v>
      </c>
    </row>
    <row r="365" spans="1:15" x14ac:dyDescent="0.55000000000000004">
      <c r="A365" s="3">
        <v>1238911364</v>
      </c>
      <c r="B365" s="1" t="s">
        <v>12</v>
      </c>
      <c r="C365" s="6">
        <v>31275</v>
      </c>
      <c r="D365" s="6">
        <v>41738</v>
      </c>
      <c r="E365" s="6"/>
      <c r="F365" s="6"/>
      <c r="G365" s="1" t="s">
        <v>159</v>
      </c>
      <c r="H365" s="2">
        <v>111168.85</v>
      </c>
      <c r="I365" s="7">
        <v>2</v>
      </c>
      <c r="J365" s="7">
        <v>3</v>
      </c>
      <c r="K365" s="7">
        <v>2</v>
      </c>
      <c r="L365" s="7">
        <v>2</v>
      </c>
      <c r="M365" s="7">
        <v>2</v>
      </c>
      <c r="N365" s="1">
        <f t="shared" si="43"/>
        <v>2</v>
      </c>
      <c r="O365" s="1" t="str">
        <f t="shared" si="41"/>
        <v>Meets Expectations</v>
      </c>
    </row>
    <row r="366" spans="1:15" x14ac:dyDescent="0.55000000000000004">
      <c r="A366" s="3">
        <v>1238911365</v>
      </c>
      <c r="B366" s="1" t="s">
        <v>12</v>
      </c>
      <c r="C366" s="6">
        <v>31290</v>
      </c>
      <c r="D366" s="6">
        <v>43795</v>
      </c>
      <c r="E366" s="6"/>
      <c r="F366" s="6"/>
      <c r="G366" s="1" t="s">
        <v>160</v>
      </c>
      <c r="H366" s="2">
        <v>100000</v>
      </c>
      <c r="I366" s="7">
        <v>3</v>
      </c>
      <c r="J366" s="7">
        <v>3</v>
      </c>
      <c r="K366" s="7">
        <v>2</v>
      </c>
      <c r="L366" s="7">
        <v>2</v>
      </c>
      <c r="M366" s="7">
        <v>2</v>
      </c>
      <c r="N366" s="1">
        <f t="shared" si="43"/>
        <v>2</v>
      </c>
      <c r="O366" s="1" t="str">
        <f t="shared" si="41"/>
        <v>Meets Expectations</v>
      </c>
    </row>
    <row r="367" spans="1:15" x14ac:dyDescent="0.55000000000000004">
      <c r="A367" s="3">
        <v>1238911366</v>
      </c>
      <c r="B367" s="1" t="s">
        <v>12</v>
      </c>
      <c r="C367" s="6">
        <v>31298</v>
      </c>
      <c r="D367" s="6">
        <v>43006</v>
      </c>
      <c r="E367" s="6"/>
      <c r="F367" s="6"/>
      <c r="G367" s="1" t="s">
        <v>161</v>
      </c>
      <c r="H367" s="2">
        <v>112500</v>
      </c>
      <c r="I367" s="7">
        <v>2</v>
      </c>
      <c r="J367" s="7">
        <v>3</v>
      </c>
      <c r="K367" s="7">
        <v>2</v>
      </c>
      <c r="L367" s="7">
        <v>2</v>
      </c>
      <c r="M367" s="7">
        <v>3</v>
      </c>
      <c r="N367" s="1">
        <f t="shared" si="43"/>
        <v>2</v>
      </c>
      <c r="O367" s="1" t="str">
        <f t="shared" si="41"/>
        <v>Meets Expectations</v>
      </c>
    </row>
    <row r="368" spans="1:15" x14ac:dyDescent="0.55000000000000004">
      <c r="A368" s="3">
        <v>1238911367</v>
      </c>
      <c r="B368" s="1" t="s">
        <v>12</v>
      </c>
      <c r="C368" s="6">
        <v>31304</v>
      </c>
      <c r="D368" s="6">
        <v>41934</v>
      </c>
      <c r="E368" s="6">
        <v>45721</v>
      </c>
      <c r="F368" s="6"/>
      <c r="G368" s="1" t="s">
        <v>19</v>
      </c>
      <c r="H368" s="2">
        <v>62500</v>
      </c>
      <c r="I368" s="7">
        <v>1</v>
      </c>
      <c r="J368" s="7">
        <v>2</v>
      </c>
      <c r="K368" s="7">
        <v>3</v>
      </c>
      <c r="L368" s="7">
        <v>1</v>
      </c>
      <c r="M368" s="7">
        <v>3</v>
      </c>
      <c r="N368" s="1">
        <f t="shared" si="43"/>
        <v>2</v>
      </c>
      <c r="O368" s="1" t="str">
        <f t="shared" si="41"/>
        <v>Meets Expectations</v>
      </c>
    </row>
    <row r="369" spans="1:15" x14ac:dyDescent="0.55000000000000004">
      <c r="A369" s="3">
        <v>1238911368</v>
      </c>
      <c r="B369" s="1" t="s">
        <v>12</v>
      </c>
      <c r="C369" s="6">
        <v>31305</v>
      </c>
      <c r="D369" s="6">
        <v>41461</v>
      </c>
      <c r="E369" s="6"/>
      <c r="F369" s="6"/>
      <c r="G369" s="1" t="s">
        <v>45</v>
      </c>
      <c r="H369" s="2">
        <v>59124</v>
      </c>
      <c r="I369" s="7">
        <v>3</v>
      </c>
      <c r="J369" s="7">
        <v>3</v>
      </c>
      <c r="K369" s="7">
        <v>1</v>
      </c>
      <c r="L369" s="7">
        <v>3</v>
      </c>
      <c r="M369" s="7">
        <v>1</v>
      </c>
      <c r="N369" s="1">
        <f t="shared" si="43"/>
        <v>2</v>
      </c>
      <c r="O369" s="1" t="str">
        <f t="shared" si="41"/>
        <v>Meets Expectations</v>
      </c>
    </row>
    <row r="370" spans="1:15" x14ac:dyDescent="0.55000000000000004">
      <c r="A370" s="3">
        <v>1238911369</v>
      </c>
      <c r="B370" s="1" t="s">
        <v>12</v>
      </c>
      <c r="C370" s="6">
        <v>31305</v>
      </c>
      <c r="D370" s="6">
        <v>43991</v>
      </c>
      <c r="E370" s="6"/>
      <c r="F370" s="6"/>
      <c r="G370" s="1" t="s">
        <v>45</v>
      </c>
      <c r="H370" s="2">
        <v>59124</v>
      </c>
      <c r="I370" s="7">
        <v>1</v>
      </c>
      <c r="J370" s="7">
        <v>2</v>
      </c>
      <c r="K370" s="7">
        <v>1</v>
      </c>
      <c r="L370" s="7">
        <v>2</v>
      </c>
      <c r="M370" s="7">
        <v>1</v>
      </c>
      <c r="N370" s="1">
        <f t="shared" si="43"/>
        <v>1</v>
      </c>
      <c r="O370" s="1" t="str">
        <f t="shared" si="41"/>
        <v>Below Expectations</v>
      </c>
    </row>
    <row r="371" spans="1:15" x14ac:dyDescent="0.55000000000000004">
      <c r="A371" s="3">
        <v>1238911370</v>
      </c>
      <c r="B371" s="1" t="s">
        <v>12</v>
      </c>
      <c r="C371" s="6">
        <v>31335</v>
      </c>
      <c r="D371" s="6">
        <v>42224</v>
      </c>
      <c r="E371" s="6"/>
      <c r="F371" s="6"/>
      <c r="G371" s="1" t="s">
        <v>63</v>
      </c>
      <c r="H371" s="2">
        <v>92500</v>
      </c>
      <c r="I371" s="7">
        <v>3</v>
      </c>
      <c r="J371" s="7">
        <v>3</v>
      </c>
      <c r="K371" s="7">
        <v>2</v>
      </c>
      <c r="L371" s="7">
        <v>2</v>
      </c>
      <c r="M371" s="7">
        <v>3</v>
      </c>
      <c r="N371" s="1">
        <f t="shared" si="43"/>
        <v>3</v>
      </c>
      <c r="O371" s="1" t="str">
        <f t="shared" si="41"/>
        <v>Exceeds Expectations</v>
      </c>
    </row>
    <row r="372" spans="1:15" x14ac:dyDescent="0.55000000000000004">
      <c r="A372" s="3">
        <v>1238911371</v>
      </c>
      <c r="B372" s="1" t="s">
        <v>14</v>
      </c>
      <c r="C372" s="6">
        <v>31335</v>
      </c>
      <c r="D372" s="6">
        <v>43859</v>
      </c>
      <c r="E372" s="6">
        <v>45238</v>
      </c>
      <c r="F372" s="15" t="str">
        <f t="shared" ref="F372:F373" ca="1" si="44">IF(E372="",DATEDIF(D372,TODAY(),"y")&amp; "Years" &amp;DATEDIF(D372,TODAY(),"ym")&amp; "Months"&amp;DATEDIF(D372,TODAY(),"md") &amp;"Days",DATEDIF(D372,E372,"y")&amp; "Years" &amp;DATEDIF(D372,E372,"ym")&amp; "Months"&amp;DATEDIF(D372,E372,"md") &amp;"Days")</f>
        <v>3Years9Months10Days</v>
      </c>
      <c r="G372" s="1" t="s">
        <v>87</v>
      </c>
      <c r="H372" s="2">
        <v>31980</v>
      </c>
      <c r="I372" s="7">
        <v>1</v>
      </c>
      <c r="J372" s="7">
        <v>2</v>
      </c>
      <c r="K372" s="7">
        <v>2</v>
      </c>
      <c r="L372" s="7">
        <v>1</v>
      </c>
      <c r="M372" s="7">
        <v>1</v>
      </c>
      <c r="N372" s="1">
        <f t="shared" si="43"/>
        <v>1</v>
      </c>
      <c r="O372" s="1" t="str">
        <f t="shared" si="41"/>
        <v>Below Expectations</v>
      </c>
    </row>
    <row r="373" spans="1:15" x14ac:dyDescent="0.55000000000000004">
      <c r="A373" s="3">
        <v>1238911372</v>
      </c>
      <c r="B373" s="1" t="s">
        <v>14</v>
      </c>
      <c r="C373" s="6">
        <v>31335</v>
      </c>
      <c r="D373" s="6">
        <v>44786</v>
      </c>
      <c r="E373" s="6">
        <v>45238</v>
      </c>
      <c r="F373" s="15" t="str">
        <f t="shared" ca="1" si="44"/>
        <v>1Years2Months26Days</v>
      </c>
      <c r="G373" s="1" t="s">
        <v>87</v>
      </c>
      <c r="H373" s="2">
        <v>31980</v>
      </c>
      <c r="I373" s="7">
        <v>3</v>
      </c>
      <c r="J373" s="7">
        <v>2</v>
      </c>
      <c r="K373" s="7">
        <v>3</v>
      </c>
      <c r="L373" s="7">
        <v>2</v>
      </c>
      <c r="M373" s="7">
        <v>2</v>
      </c>
      <c r="N373" s="1">
        <f t="shared" si="43"/>
        <v>2</v>
      </c>
      <c r="O373" s="1" t="str">
        <f t="shared" si="41"/>
        <v>Meets Expectations</v>
      </c>
    </row>
    <row r="374" spans="1:15" x14ac:dyDescent="0.55000000000000004">
      <c r="A374" s="3">
        <v>1238911373</v>
      </c>
      <c r="B374" s="1" t="s">
        <v>12</v>
      </c>
      <c r="C374" s="6">
        <v>31348</v>
      </c>
      <c r="D374" s="6">
        <v>41754</v>
      </c>
      <c r="E374" s="6">
        <v>42513</v>
      </c>
      <c r="F374" s="6"/>
      <c r="G374" s="1" t="s">
        <v>162</v>
      </c>
      <c r="H374" s="2">
        <v>101998</v>
      </c>
      <c r="I374" s="7">
        <v>3</v>
      </c>
      <c r="J374" s="7">
        <v>3</v>
      </c>
      <c r="K374" s="7">
        <v>3</v>
      </c>
      <c r="L374" s="7">
        <v>3</v>
      </c>
      <c r="M374" s="7">
        <v>2</v>
      </c>
      <c r="N374" s="1">
        <f t="shared" si="43"/>
        <v>3</v>
      </c>
      <c r="O374" s="1" t="str">
        <f t="shared" si="41"/>
        <v>Exceeds Expectations</v>
      </c>
    </row>
    <row r="375" spans="1:15" x14ac:dyDescent="0.55000000000000004">
      <c r="A375" s="3">
        <v>1238911374</v>
      </c>
      <c r="B375" s="1" t="s">
        <v>14</v>
      </c>
      <c r="C375" s="6">
        <v>31408</v>
      </c>
      <c r="D375" s="6">
        <v>43196</v>
      </c>
      <c r="E375" s="6"/>
      <c r="F375" s="6"/>
      <c r="G375" s="1" t="s">
        <v>163</v>
      </c>
      <c r="H375" s="2">
        <v>67028</v>
      </c>
      <c r="I375" s="7">
        <v>3</v>
      </c>
      <c r="J375" s="7">
        <v>2</v>
      </c>
      <c r="K375" s="7">
        <v>1</v>
      </c>
      <c r="L375" s="7">
        <v>2</v>
      </c>
      <c r="M375" s="7">
        <v>2</v>
      </c>
      <c r="N375" s="1">
        <f t="shared" si="43"/>
        <v>2</v>
      </c>
      <c r="O375" s="1" t="str">
        <f t="shared" si="41"/>
        <v>Meets Expectations</v>
      </c>
    </row>
    <row r="376" spans="1:15" x14ac:dyDescent="0.55000000000000004">
      <c r="A376" s="3">
        <v>1238911375</v>
      </c>
      <c r="B376" s="1" t="s">
        <v>12</v>
      </c>
      <c r="C376" s="6">
        <v>31437</v>
      </c>
      <c r="D376" s="6">
        <v>41752</v>
      </c>
      <c r="E376" s="6"/>
      <c r="F376" s="6"/>
      <c r="G376" s="1" t="s">
        <v>83</v>
      </c>
      <c r="H376" s="2">
        <v>115260.925</v>
      </c>
      <c r="I376" s="7">
        <v>3</v>
      </c>
      <c r="J376" s="7">
        <v>2</v>
      </c>
      <c r="K376" s="7">
        <v>3</v>
      </c>
      <c r="L376" s="7">
        <v>2</v>
      </c>
      <c r="M376" s="7">
        <v>2</v>
      </c>
      <c r="N376" s="1">
        <f t="shared" si="43"/>
        <v>2</v>
      </c>
      <c r="O376" s="1" t="str">
        <f t="shared" si="41"/>
        <v>Meets Expectations</v>
      </c>
    </row>
    <row r="377" spans="1:15" x14ac:dyDescent="0.55000000000000004">
      <c r="A377" s="3">
        <v>1238911376</v>
      </c>
      <c r="B377" s="1" t="s">
        <v>14</v>
      </c>
      <c r="C377" s="6">
        <v>31446</v>
      </c>
      <c r="D377" s="6">
        <v>41679</v>
      </c>
      <c r="E377" s="6"/>
      <c r="F377" s="6"/>
      <c r="G377" s="1" t="s">
        <v>63</v>
      </c>
      <c r="H377" s="2">
        <v>72187.5</v>
      </c>
      <c r="I377" s="7">
        <v>2</v>
      </c>
      <c r="J377" s="7">
        <v>2</v>
      </c>
      <c r="K377" s="7">
        <v>2</v>
      </c>
      <c r="L377" s="7">
        <v>3</v>
      </c>
      <c r="M377" s="7">
        <v>3</v>
      </c>
      <c r="N377" s="1">
        <f t="shared" si="43"/>
        <v>2</v>
      </c>
      <c r="O377" s="1" t="str">
        <f t="shared" si="41"/>
        <v>Meets Expectations</v>
      </c>
    </row>
    <row r="378" spans="1:15" x14ac:dyDescent="0.55000000000000004">
      <c r="A378" s="3">
        <v>1238911377</v>
      </c>
      <c r="B378" s="1" t="s">
        <v>12</v>
      </c>
      <c r="C378" s="6">
        <v>31463</v>
      </c>
      <c r="D378" s="6">
        <v>42296</v>
      </c>
      <c r="E378" s="6"/>
      <c r="F378" s="6"/>
      <c r="G378" s="1" t="s">
        <v>164</v>
      </c>
      <c r="H378" s="2">
        <v>117500</v>
      </c>
      <c r="I378" s="7">
        <v>2</v>
      </c>
      <c r="J378" s="7">
        <v>2</v>
      </c>
      <c r="K378" s="7">
        <v>3</v>
      </c>
      <c r="L378" s="7">
        <v>3</v>
      </c>
      <c r="M378" s="7">
        <v>2</v>
      </c>
      <c r="N378" s="1">
        <f t="shared" si="43"/>
        <v>2</v>
      </c>
      <c r="O378" s="1" t="str">
        <f t="shared" si="41"/>
        <v>Meets Expectations</v>
      </c>
    </row>
    <row r="379" spans="1:15" x14ac:dyDescent="0.55000000000000004">
      <c r="A379" s="3">
        <v>1238911378</v>
      </c>
      <c r="B379" s="1" t="s">
        <v>12</v>
      </c>
      <c r="C379" s="6">
        <v>31507</v>
      </c>
      <c r="D379" s="6">
        <v>41184</v>
      </c>
      <c r="E379" s="6"/>
      <c r="F379" s="6"/>
      <c r="G379" s="1" t="s">
        <v>165</v>
      </c>
      <c r="H379" s="2">
        <v>53768</v>
      </c>
      <c r="I379" s="7">
        <v>2</v>
      </c>
      <c r="J379" s="7">
        <v>1</v>
      </c>
      <c r="K379" s="7">
        <v>2</v>
      </c>
      <c r="L379" s="7">
        <v>1</v>
      </c>
      <c r="M379" s="7">
        <v>1</v>
      </c>
      <c r="N379" s="1">
        <f t="shared" si="43"/>
        <v>1</v>
      </c>
      <c r="O379" s="1" t="str">
        <f t="shared" si="41"/>
        <v>Below Expectations</v>
      </c>
    </row>
    <row r="380" spans="1:15" x14ac:dyDescent="0.55000000000000004">
      <c r="A380" s="3">
        <v>1238911379</v>
      </c>
      <c r="B380" s="1" t="s">
        <v>12</v>
      </c>
      <c r="C380" s="6">
        <v>31622</v>
      </c>
      <c r="D380" s="6">
        <v>44369</v>
      </c>
      <c r="E380" s="6"/>
      <c r="F380" s="6"/>
      <c r="G380" s="1" t="s">
        <v>162</v>
      </c>
      <c r="H380" s="2">
        <v>100000</v>
      </c>
      <c r="I380" s="7">
        <v>3</v>
      </c>
      <c r="J380" s="7">
        <v>2</v>
      </c>
      <c r="K380" s="7">
        <v>2</v>
      </c>
      <c r="L380" s="7">
        <v>2</v>
      </c>
      <c r="M380" s="7">
        <v>2</v>
      </c>
      <c r="N380" s="1">
        <f t="shared" si="43"/>
        <v>2</v>
      </c>
      <c r="O380" s="1" t="str">
        <f t="shared" si="41"/>
        <v>Meets Expectations</v>
      </c>
    </row>
    <row r="381" spans="1:15" x14ac:dyDescent="0.55000000000000004">
      <c r="A381" s="3">
        <v>1238911380</v>
      </c>
      <c r="B381" s="1" t="s">
        <v>14</v>
      </c>
      <c r="C381" s="6">
        <v>31665</v>
      </c>
      <c r="D381" s="6">
        <v>42315</v>
      </c>
      <c r="E381" s="6">
        <v>45841</v>
      </c>
      <c r="F381" s="6"/>
      <c r="G381" s="1" t="s">
        <v>166</v>
      </c>
      <c r="H381" s="2">
        <v>75000</v>
      </c>
      <c r="I381" s="7">
        <v>3</v>
      </c>
      <c r="J381" s="7">
        <v>2</v>
      </c>
      <c r="K381" s="7">
        <v>3</v>
      </c>
      <c r="L381" s="7">
        <v>2</v>
      </c>
      <c r="M381" s="7">
        <v>3</v>
      </c>
      <c r="N381" s="1">
        <f t="shared" si="43"/>
        <v>3</v>
      </c>
      <c r="O381" s="1" t="str">
        <f t="shared" si="41"/>
        <v>Exceeds Expectations</v>
      </c>
    </row>
    <row r="382" spans="1:15" x14ac:dyDescent="0.55000000000000004">
      <c r="A382" s="3">
        <v>1238911381</v>
      </c>
      <c r="B382" s="1" t="s">
        <v>14</v>
      </c>
      <c r="C382" s="6">
        <v>31665</v>
      </c>
      <c r="D382" s="6">
        <v>45337</v>
      </c>
      <c r="E382" s="6"/>
      <c r="F382" s="6"/>
      <c r="G382" s="1" t="s">
        <v>166</v>
      </c>
      <c r="H382" s="2">
        <v>75000</v>
      </c>
      <c r="I382" s="7">
        <v>1</v>
      </c>
      <c r="J382" s="7">
        <v>3</v>
      </c>
      <c r="K382" s="7">
        <v>3</v>
      </c>
      <c r="L382" s="7">
        <v>2</v>
      </c>
      <c r="M382" s="7">
        <v>1</v>
      </c>
      <c r="N382" s="1">
        <f t="shared" si="43"/>
        <v>2</v>
      </c>
      <c r="O382" s="1" t="str">
        <f t="shared" si="41"/>
        <v>Meets Expectations</v>
      </c>
    </row>
    <row r="383" spans="1:15" x14ac:dyDescent="0.55000000000000004">
      <c r="A383" s="3">
        <v>1238911382</v>
      </c>
      <c r="B383" s="1" t="s">
        <v>12</v>
      </c>
      <c r="C383" s="6">
        <v>31722</v>
      </c>
      <c r="D383" s="6">
        <v>42998</v>
      </c>
      <c r="E383" s="6"/>
      <c r="F383" s="6"/>
      <c r="G383" s="1" t="s">
        <v>68</v>
      </c>
      <c r="H383" s="2">
        <v>56237.5</v>
      </c>
      <c r="I383" s="7">
        <v>3</v>
      </c>
      <c r="J383" s="7">
        <v>3</v>
      </c>
      <c r="K383" s="7">
        <v>1</v>
      </c>
      <c r="L383" s="7">
        <v>1</v>
      </c>
      <c r="M383" s="7">
        <v>1</v>
      </c>
      <c r="N383" s="1">
        <f t="shared" si="43"/>
        <v>2</v>
      </c>
      <c r="O383" s="1" t="str">
        <f t="shared" si="41"/>
        <v>Meets Expectations</v>
      </c>
    </row>
    <row r="384" spans="1:15" x14ac:dyDescent="0.55000000000000004">
      <c r="A384" s="3">
        <v>1238911383</v>
      </c>
      <c r="B384" s="1" t="s">
        <v>12</v>
      </c>
      <c r="C384" s="6">
        <v>31728</v>
      </c>
      <c r="D384" s="6">
        <v>41745</v>
      </c>
      <c r="E384" s="6"/>
      <c r="F384" s="6"/>
      <c r="G384" s="1" t="s">
        <v>63</v>
      </c>
      <c r="H384" s="2">
        <v>68750</v>
      </c>
      <c r="I384" s="7">
        <v>2</v>
      </c>
      <c r="J384" s="7">
        <v>2</v>
      </c>
      <c r="K384" s="7">
        <v>3</v>
      </c>
      <c r="L384" s="7">
        <v>2</v>
      </c>
      <c r="M384" s="7">
        <v>2</v>
      </c>
      <c r="N384" s="1">
        <f t="shared" si="43"/>
        <v>2</v>
      </c>
      <c r="O384" s="1" t="str">
        <f t="shared" si="41"/>
        <v>Meets Expectations</v>
      </c>
    </row>
    <row r="385" spans="1:15" x14ac:dyDescent="0.55000000000000004">
      <c r="A385" s="3">
        <v>1238911384</v>
      </c>
      <c r="B385" s="1" t="s">
        <v>12</v>
      </c>
      <c r="C385" s="6">
        <v>31747</v>
      </c>
      <c r="D385" s="6">
        <v>41627</v>
      </c>
      <c r="E385" s="6"/>
      <c r="F385" s="6"/>
      <c r="G385" s="1" t="s">
        <v>167</v>
      </c>
      <c r="H385" s="2">
        <v>68750</v>
      </c>
      <c r="I385" s="7">
        <v>1</v>
      </c>
      <c r="J385" s="7">
        <v>1</v>
      </c>
      <c r="K385" s="7">
        <v>1</v>
      </c>
      <c r="L385" s="7">
        <v>3</v>
      </c>
      <c r="M385" s="7">
        <v>2</v>
      </c>
      <c r="N385" s="1">
        <f t="shared" si="43"/>
        <v>2</v>
      </c>
      <c r="O385" s="1" t="str">
        <f t="shared" si="41"/>
        <v>Meets Expectations</v>
      </c>
    </row>
    <row r="386" spans="1:15" x14ac:dyDescent="0.55000000000000004">
      <c r="A386" s="3">
        <v>1238911385</v>
      </c>
      <c r="B386" s="1" t="s">
        <v>14</v>
      </c>
      <c r="C386" s="6">
        <v>31755</v>
      </c>
      <c r="D386" s="6">
        <v>44806</v>
      </c>
      <c r="E386" s="6"/>
      <c r="F386" s="15" t="str">
        <f ca="1">IF(E386="",DATEDIF(D386,TODAY(),"y")&amp; "Years" &amp;DATEDIF(D386,TODAY(),"ym")&amp; "Months"&amp;DATEDIF(D386,TODAY(),"md") &amp;"Days",DATEDIF(D386,E386,"y")&amp; "Years" &amp;DATEDIF(D386,E386,"ym")&amp; "Months"&amp;DATEDIF(D386,E386,"md") &amp;"Days")</f>
        <v>3Years8Months11Days</v>
      </c>
      <c r="G386" s="1" t="s">
        <v>168</v>
      </c>
      <c r="H386" s="2">
        <v>45084</v>
      </c>
      <c r="I386" s="7">
        <v>3</v>
      </c>
      <c r="J386" s="7">
        <v>1</v>
      </c>
      <c r="K386" s="7">
        <v>1</v>
      </c>
      <c r="L386" s="7">
        <v>3</v>
      </c>
      <c r="M386" s="7">
        <v>2</v>
      </c>
      <c r="N386" s="1">
        <f t="shared" si="43"/>
        <v>2</v>
      </c>
      <c r="O386" s="1" t="str">
        <f t="shared" si="41"/>
        <v>Meets Expectations</v>
      </c>
    </row>
    <row r="387" spans="1:15" x14ac:dyDescent="0.55000000000000004">
      <c r="A387" s="3">
        <v>1238911386</v>
      </c>
      <c r="B387" s="1" t="s">
        <v>12</v>
      </c>
      <c r="C387" s="6">
        <v>31774</v>
      </c>
      <c r="D387" s="6">
        <v>41413</v>
      </c>
      <c r="E387" s="6"/>
      <c r="F387" s="6"/>
      <c r="G387" s="1" t="s">
        <v>63</v>
      </c>
      <c r="H387" s="2">
        <v>87500</v>
      </c>
      <c r="I387" s="7">
        <v>3</v>
      </c>
      <c r="J387" s="7">
        <v>2</v>
      </c>
      <c r="K387" s="7">
        <v>3</v>
      </c>
      <c r="L387" s="7">
        <v>2</v>
      </c>
      <c r="M387" s="7">
        <v>1</v>
      </c>
      <c r="N387" s="1">
        <f t="shared" si="43"/>
        <v>2</v>
      </c>
      <c r="O387" s="1" t="str">
        <f t="shared" si="41"/>
        <v>Meets Expectations</v>
      </c>
    </row>
    <row r="388" spans="1:15" x14ac:dyDescent="0.55000000000000004">
      <c r="A388" s="3">
        <v>1238911387</v>
      </c>
      <c r="B388" s="1" t="s">
        <v>12</v>
      </c>
      <c r="C388" s="6">
        <v>31785</v>
      </c>
      <c r="D388" s="6">
        <v>41867</v>
      </c>
      <c r="E388" s="6">
        <v>44963</v>
      </c>
      <c r="F388" s="6"/>
      <c r="G388" s="1" t="s">
        <v>169</v>
      </c>
      <c r="H388" s="2">
        <v>88750</v>
      </c>
      <c r="I388" s="7">
        <v>3</v>
      </c>
      <c r="J388" s="7">
        <v>1</v>
      </c>
      <c r="K388" s="7">
        <v>3</v>
      </c>
      <c r="L388" s="7">
        <v>2</v>
      </c>
      <c r="M388" s="7">
        <v>2</v>
      </c>
      <c r="N388" s="1">
        <f t="shared" si="43"/>
        <v>2</v>
      </c>
      <c r="O388" s="1" t="str">
        <f t="shared" ref="O388:O451" si="45">IF(N388=1,"Below Expectations",IF(N388=2,"Meets Expectations","Exceeds Expectations"))</f>
        <v>Meets Expectations</v>
      </c>
    </row>
    <row r="389" spans="1:15" x14ac:dyDescent="0.55000000000000004">
      <c r="A389" s="3">
        <v>1238911388</v>
      </c>
      <c r="B389" s="1" t="s">
        <v>12</v>
      </c>
      <c r="C389" s="6">
        <v>31785</v>
      </c>
      <c r="D389" s="6">
        <v>41142</v>
      </c>
      <c r="E389" s="6"/>
      <c r="F389" s="6"/>
      <c r="G389" s="1" t="s">
        <v>169</v>
      </c>
      <c r="H389" s="2">
        <v>88750</v>
      </c>
      <c r="I389" s="7">
        <v>2</v>
      </c>
      <c r="J389" s="7">
        <v>3</v>
      </c>
      <c r="K389" s="7">
        <v>3</v>
      </c>
      <c r="L389" s="7">
        <v>3</v>
      </c>
      <c r="M389" s="7">
        <v>1</v>
      </c>
      <c r="N389" s="1">
        <f t="shared" si="43"/>
        <v>2</v>
      </c>
      <c r="O389" s="1" t="str">
        <f t="shared" si="45"/>
        <v>Meets Expectations</v>
      </c>
    </row>
    <row r="390" spans="1:15" x14ac:dyDescent="0.55000000000000004">
      <c r="A390" s="3">
        <v>1238911389</v>
      </c>
      <c r="B390" s="1" t="s">
        <v>14</v>
      </c>
      <c r="C390" s="6">
        <v>31786</v>
      </c>
      <c r="D390" s="6">
        <v>44795</v>
      </c>
      <c r="E390" s="6"/>
      <c r="F390" s="6"/>
      <c r="G390" s="1" t="s">
        <v>170</v>
      </c>
      <c r="H390" s="2">
        <v>77500</v>
      </c>
      <c r="I390" s="7">
        <v>2</v>
      </c>
      <c r="J390" s="7">
        <v>1</v>
      </c>
      <c r="K390" s="7">
        <v>2</v>
      </c>
      <c r="L390" s="7">
        <v>3</v>
      </c>
      <c r="M390" s="7">
        <v>1</v>
      </c>
      <c r="N390" s="1">
        <f t="shared" si="43"/>
        <v>2</v>
      </c>
      <c r="O390" s="1" t="str">
        <f t="shared" si="45"/>
        <v>Meets Expectations</v>
      </c>
    </row>
    <row r="391" spans="1:15" x14ac:dyDescent="0.55000000000000004">
      <c r="A391" s="3">
        <v>1238911390</v>
      </c>
      <c r="B391" s="1" t="s">
        <v>12</v>
      </c>
      <c r="C391" s="6">
        <v>31818</v>
      </c>
      <c r="D391" s="6">
        <v>43683</v>
      </c>
      <c r="E391" s="6">
        <v>45030</v>
      </c>
      <c r="F391" s="6"/>
      <c r="G391" s="1" t="s">
        <v>171</v>
      </c>
      <c r="H391" s="2">
        <v>55567.524999999994</v>
      </c>
      <c r="I391" s="7">
        <v>3</v>
      </c>
      <c r="J391" s="7">
        <v>2</v>
      </c>
      <c r="K391" s="7">
        <v>2</v>
      </c>
      <c r="L391" s="7">
        <v>3</v>
      </c>
      <c r="M391" s="7">
        <v>2</v>
      </c>
      <c r="N391" s="1">
        <f t="shared" si="43"/>
        <v>2</v>
      </c>
      <c r="O391" s="1" t="str">
        <f t="shared" si="45"/>
        <v>Meets Expectations</v>
      </c>
    </row>
    <row r="392" spans="1:15" x14ac:dyDescent="0.55000000000000004">
      <c r="A392" s="3">
        <v>1238911391</v>
      </c>
      <c r="B392" s="1" t="s">
        <v>14</v>
      </c>
      <c r="C392" s="6">
        <v>31835</v>
      </c>
      <c r="D392" s="6">
        <v>40961</v>
      </c>
      <c r="E392" s="6"/>
      <c r="F392" s="15" t="str">
        <f ca="1">IF(E392="",DATEDIF(D392,TODAY(),"y")&amp; "Years" &amp;DATEDIF(D392,TODAY(),"ym")&amp; "Months"&amp;DATEDIF(D392,TODAY(),"md") &amp;"Days",DATEDIF(D392,E392,"y")&amp; "Years" &amp;DATEDIF(D392,E392,"ym")&amp; "Months"&amp;DATEDIF(D392,E392,"md") &amp;"Days")</f>
        <v>14Years2Months21Days</v>
      </c>
      <c r="G392" s="1" t="s">
        <v>172</v>
      </c>
      <c r="H392" s="2">
        <v>44200</v>
      </c>
      <c r="I392" s="7">
        <v>1</v>
      </c>
      <c r="J392" s="7">
        <v>1</v>
      </c>
      <c r="K392" s="7">
        <v>1</v>
      </c>
      <c r="L392" s="7">
        <v>2</v>
      </c>
      <c r="M392" s="7">
        <v>2</v>
      </c>
      <c r="N392" s="1">
        <f t="shared" ref="N392:N455" si="46">ROUND(AVERAGE(I392:M392),0)</f>
        <v>1</v>
      </c>
      <c r="O392" s="1" t="str">
        <f t="shared" si="45"/>
        <v>Below Expectations</v>
      </c>
    </row>
    <row r="393" spans="1:15" x14ac:dyDescent="0.55000000000000004">
      <c r="A393" s="3">
        <v>1238911392</v>
      </c>
      <c r="B393" s="1" t="s">
        <v>12</v>
      </c>
      <c r="C393" s="6">
        <v>31838</v>
      </c>
      <c r="D393" s="6">
        <v>41248</v>
      </c>
      <c r="E393" s="6"/>
      <c r="F393" s="6"/>
      <c r="G393" s="1" t="s">
        <v>173</v>
      </c>
      <c r="H393" s="2">
        <v>101999.95000000001</v>
      </c>
      <c r="I393" s="7">
        <v>2</v>
      </c>
      <c r="J393" s="7">
        <v>2</v>
      </c>
      <c r="K393" s="7">
        <v>2</v>
      </c>
      <c r="L393" s="7">
        <v>3</v>
      </c>
      <c r="M393" s="7">
        <v>2</v>
      </c>
      <c r="N393" s="1">
        <f t="shared" si="46"/>
        <v>2</v>
      </c>
      <c r="O393" s="1" t="str">
        <f t="shared" si="45"/>
        <v>Meets Expectations</v>
      </c>
    </row>
    <row r="394" spans="1:15" x14ac:dyDescent="0.55000000000000004">
      <c r="A394" s="3">
        <v>1238911393</v>
      </c>
      <c r="B394" s="1" t="s">
        <v>14</v>
      </c>
      <c r="C394" s="6">
        <v>31873</v>
      </c>
      <c r="D394" s="6">
        <v>41417</v>
      </c>
      <c r="E394" s="6">
        <v>45222</v>
      </c>
      <c r="F394" s="6"/>
      <c r="G394" s="1" t="s">
        <v>174</v>
      </c>
      <c r="H394" s="2">
        <v>96532.800000000003</v>
      </c>
      <c r="I394" s="7">
        <v>3</v>
      </c>
      <c r="J394" s="7">
        <v>2</v>
      </c>
      <c r="K394" s="7">
        <v>2</v>
      </c>
      <c r="L394" s="7">
        <v>2</v>
      </c>
      <c r="M394" s="7">
        <v>1</v>
      </c>
      <c r="N394" s="1">
        <f t="shared" si="46"/>
        <v>2</v>
      </c>
      <c r="O394" s="1" t="str">
        <f t="shared" si="45"/>
        <v>Meets Expectations</v>
      </c>
    </row>
    <row r="395" spans="1:15" x14ac:dyDescent="0.55000000000000004">
      <c r="A395" s="3">
        <v>1238911394</v>
      </c>
      <c r="B395" s="1" t="s">
        <v>14</v>
      </c>
      <c r="C395" s="6">
        <v>31899</v>
      </c>
      <c r="D395" s="6">
        <v>41819</v>
      </c>
      <c r="E395" s="6"/>
      <c r="F395" s="6"/>
      <c r="G395" s="1" t="s">
        <v>175</v>
      </c>
      <c r="H395" s="2">
        <v>75750</v>
      </c>
      <c r="I395" s="7">
        <v>2</v>
      </c>
      <c r="J395" s="7">
        <v>1</v>
      </c>
      <c r="K395" s="7">
        <v>3</v>
      </c>
      <c r="L395" s="7">
        <v>2</v>
      </c>
      <c r="M395" s="7">
        <v>3</v>
      </c>
      <c r="N395" s="1">
        <f t="shared" si="46"/>
        <v>2</v>
      </c>
      <c r="O395" s="1" t="str">
        <f t="shared" si="45"/>
        <v>Meets Expectations</v>
      </c>
    </row>
    <row r="396" spans="1:15" x14ac:dyDescent="0.55000000000000004">
      <c r="A396" s="3">
        <v>1238911395</v>
      </c>
      <c r="B396" s="1" t="s">
        <v>12</v>
      </c>
      <c r="C396" s="6">
        <v>31921</v>
      </c>
      <c r="D396" s="6">
        <v>45177</v>
      </c>
      <c r="E396" s="6"/>
      <c r="F396" s="6"/>
      <c r="G396" s="1" t="s">
        <v>140</v>
      </c>
      <c r="H396" s="2">
        <v>87500</v>
      </c>
      <c r="I396" s="7">
        <v>1</v>
      </c>
      <c r="J396" s="7">
        <v>3</v>
      </c>
      <c r="K396" s="7">
        <v>3</v>
      </c>
      <c r="L396" s="7">
        <v>2</v>
      </c>
      <c r="M396" s="7">
        <v>1</v>
      </c>
      <c r="N396" s="1">
        <f t="shared" si="46"/>
        <v>2</v>
      </c>
      <c r="O396" s="1" t="str">
        <f t="shared" si="45"/>
        <v>Meets Expectations</v>
      </c>
    </row>
    <row r="397" spans="1:15" x14ac:dyDescent="0.55000000000000004">
      <c r="A397" s="3">
        <v>1238911396</v>
      </c>
      <c r="B397" s="1" t="s">
        <v>14</v>
      </c>
      <c r="C397" s="6">
        <v>31921</v>
      </c>
      <c r="D397" s="6">
        <v>40487</v>
      </c>
      <c r="E397" s="6">
        <v>45557</v>
      </c>
      <c r="F397" s="6"/>
      <c r="G397" s="1" t="s">
        <v>176</v>
      </c>
      <c r="H397" s="2">
        <v>82062.5</v>
      </c>
      <c r="I397" s="7">
        <v>1</v>
      </c>
      <c r="J397" s="7">
        <v>3</v>
      </c>
      <c r="K397" s="7">
        <v>2</v>
      </c>
      <c r="L397" s="7">
        <v>3</v>
      </c>
      <c r="M397" s="7">
        <v>2</v>
      </c>
      <c r="N397" s="1">
        <f t="shared" si="46"/>
        <v>2</v>
      </c>
      <c r="O397" s="1" t="str">
        <f t="shared" si="45"/>
        <v>Meets Expectations</v>
      </c>
    </row>
    <row r="398" spans="1:15" x14ac:dyDescent="0.55000000000000004">
      <c r="A398" s="3">
        <v>1238911397</v>
      </c>
      <c r="B398" s="1" t="s">
        <v>12</v>
      </c>
      <c r="C398" s="6">
        <v>31955</v>
      </c>
      <c r="D398" s="6">
        <v>41825</v>
      </c>
      <c r="E398" s="6"/>
      <c r="F398" s="6"/>
      <c r="G398" s="1" t="s">
        <v>99</v>
      </c>
      <c r="H398" s="2">
        <v>125115.25</v>
      </c>
      <c r="I398" s="7">
        <v>3</v>
      </c>
      <c r="J398" s="7">
        <v>2</v>
      </c>
      <c r="K398" s="7">
        <v>3</v>
      </c>
      <c r="L398" s="7">
        <v>3</v>
      </c>
      <c r="M398" s="7">
        <v>3</v>
      </c>
      <c r="N398" s="1">
        <f t="shared" si="46"/>
        <v>3</v>
      </c>
      <c r="O398" s="1" t="str">
        <f t="shared" si="45"/>
        <v>Exceeds Expectations</v>
      </c>
    </row>
    <row r="399" spans="1:15" x14ac:dyDescent="0.55000000000000004">
      <c r="A399" s="3">
        <v>1238911398</v>
      </c>
      <c r="B399" s="1" t="s">
        <v>12</v>
      </c>
      <c r="C399" s="6">
        <v>31958</v>
      </c>
      <c r="D399" s="6">
        <v>41710</v>
      </c>
      <c r="E399" s="6"/>
      <c r="F399" s="6"/>
      <c r="G399" s="1" t="s">
        <v>177</v>
      </c>
      <c r="H399" s="2">
        <v>98099.625</v>
      </c>
      <c r="I399" s="7">
        <v>1</v>
      </c>
      <c r="J399" s="7">
        <v>3</v>
      </c>
      <c r="K399" s="7">
        <v>3</v>
      </c>
      <c r="L399" s="7">
        <v>3</v>
      </c>
      <c r="M399" s="7">
        <v>3</v>
      </c>
      <c r="N399" s="1">
        <f t="shared" si="46"/>
        <v>3</v>
      </c>
      <c r="O399" s="1" t="str">
        <f t="shared" si="45"/>
        <v>Exceeds Expectations</v>
      </c>
    </row>
    <row r="400" spans="1:15" x14ac:dyDescent="0.55000000000000004">
      <c r="A400" s="3">
        <v>1238911399</v>
      </c>
      <c r="B400" s="1" t="s">
        <v>12</v>
      </c>
      <c r="C400" s="6">
        <v>31966</v>
      </c>
      <c r="D400" s="6">
        <v>41990</v>
      </c>
      <c r="E400" s="6"/>
      <c r="F400" s="6"/>
      <c r="G400" s="1" t="s">
        <v>178</v>
      </c>
      <c r="H400" s="2">
        <v>78216.25</v>
      </c>
      <c r="I400" s="7">
        <v>1</v>
      </c>
      <c r="J400" s="7">
        <v>3</v>
      </c>
      <c r="K400" s="7">
        <v>1</v>
      </c>
      <c r="L400" s="7">
        <v>3</v>
      </c>
      <c r="M400" s="7">
        <v>3</v>
      </c>
      <c r="N400" s="1">
        <f t="shared" si="46"/>
        <v>2</v>
      </c>
      <c r="O400" s="1" t="str">
        <f t="shared" si="45"/>
        <v>Meets Expectations</v>
      </c>
    </row>
    <row r="401" spans="1:15" x14ac:dyDescent="0.55000000000000004">
      <c r="A401" s="3">
        <v>1238911400</v>
      </c>
      <c r="B401" s="1" t="s">
        <v>12</v>
      </c>
      <c r="C401" s="6">
        <v>31971</v>
      </c>
      <c r="D401" s="6">
        <v>43756</v>
      </c>
      <c r="E401" s="6"/>
      <c r="F401" s="6"/>
      <c r="G401" s="1" t="s">
        <v>179</v>
      </c>
      <c r="H401" s="2">
        <v>50654.824999999997</v>
      </c>
      <c r="I401" s="7">
        <v>2</v>
      </c>
      <c r="J401" s="7">
        <v>2</v>
      </c>
      <c r="K401" s="7">
        <v>1</v>
      </c>
      <c r="L401" s="7">
        <v>3</v>
      </c>
      <c r="M401" s="7">
        <v>3</v>
      </c>
      <c r="N401" s="1">
        <f t="shared" si="46"/>
        <v>2</v>
      </c>
      <c r="O401" s="1" t="str">
        <f t="shared" si="45"/>
        <v>Meets Expectations</v>
      </c>
    </row>
    <row r="402" spans="1:15" x14ac:dyDescent="0.55000000000000004">
      <c r="A402" s="3">
        <v>1238911401</v>
      </c>
      <c r="B402" s="1" t="s">
        <v>12</v>
      </c>
      <c r="C402" s="6">
        <v>31985</v>
      </c>
      <c r="D402" s="6">
        <v>41277</v>
      </c>
      <c r="E402" s="6"/>
      <c r="F402" s="6"/>
      <c r="G402" s="1" t="s">
        <v>180</v>
      </c>
      <c r="H402" s="2">
        <v>75000</v>
      </c>
      <c r="I402" s="7">
        <v>1</v>
      </c>
      <c r="J402" s="7">
        <v>2</v>
      </c>
      <c r="K402" s="7">
        <v>1</v>
      </c>
      <c r="L402" s="7">
        <v>1</v>
      </c>
      <c r="M402" s="7">
        <v>2</v>
      </c>
      <c r="N402" s="1">
        <f t="shared" si="46"/>
        <v>1</v>
      </c>
      <c r="O402" s="1" t="str">
        <f t="shared" si="45"/>
        <v>Below Expectations</v>
      </c>
    </row>
    <row r="403" spans="1:15" x14ac:dyDescent="0.55000000000000004">
      <c r="A403" s="3">
        <v>1238911402</v>
      </c>
      <c r="B403" s="1" t="s">
        <v>12</v>
      </c>
      <c r="C403" s="6">
        <v>31994</v>
      </c>
      <c r="D403" s="6">
        <v>41053</v>
      </c>
      <c r="E403" s="6">
        <v>43222</v>
      </c>
      <c r="F403" s="6"/>
      <c r="G403" s="1" t="s">
        <v>74</v>
      </c>
      <c r="H403" s="2">
        <v>47814</v>
      </c>
      <c r="I403" s="7">
        <v>1</v>
      </c>
      <c r="J403" s="7">
        <v>3</v>
      </c>
      <c r="K403" s="7">
        <v>3</v>
      </c>
      <c r="L403" s="7">
        <v>1</v>
      </c>
      <c r="M403" s="7">
        <v>1</v>
      </c>
      <c r="N403" s="1">
        <f t="shared" si="46"/>
        <v>2</v>
      </c>
      <c r="O403" s="1" t="str">
        <f t="shared" si="45"/>
        <v>Meets Expectations</v>
      </c>
    </row>
    <row r="404" spans="1:15" x14ac:dyDescent="0.55000000000000004">
      <c r="A404" s="3">
        <v>1238911403</v>
      </c>
      <c r="B404" s="1" t="s">
        <v>12</v>
      </c>
      <c r="C404" s="6">
        <v>32004</v>
      </c>
      <c r="D404" s="6">
        <v>43503</v>
      </c>
      <c r="E404" s="6">
        <v>45238</v>
      </c>
      <c r="F404" s="6"/>
      <c r="G404" s="1" t="s">
        <v>181</v>
      </c>
      <c r="H404" s="2">
        <v>87500</v>
      </c>
      <c r="I404" s="7">
        <v>1</v>
      </c>
      <c r="J404" s="7">
        <v>3</v>
      </c>
      <c r="K404" s="7">
        <v>3</v>
      </c>
      <c r="L404" s="7">
        <v>1</v>
      </c>
      <c r="M404" s="7">
        <v>2</v>
      </c>
      <c r="N404" s="1">
        <f t="shared" si="46"/>
        <v>2</v>
      </c>
      <c r="O404" s="1" t="str">
        <f t="shared" si="45"/>
        <v>Meets Expectations</v>
      </c>
    </row>
    <row r="405" spans="1:15" x14ac:dyDescent="0.55000000000000004">
      <c r="A405" s="3">
        <v>1238911404</v>
      </c>
      <c r="B405" s="1" t="s">
        <v>14</v>
      </c>
      <c r="C405" s="6">
        <v>30552</v>
      </c>
      <c r="D405" s="6">
        <v>43039</v>
      </c>
      <c r="E405" s="6">
        <v>44516</v>
      </c>
      <c r="F405" s="6"/>
      <c r="G405" s="1" t="s">
        <v>182</v>
      </c>
      <c r="H405" s="2">
        <v>69004</v>
      </c>
      <c r="I405" s="7">
        <v>2</v>
      </c>
      <c r="J405" s="7">
        <v>3</v>
      </c>
      <c r="K405" s="7">
        <v>3</v>
      </c>
      <c r="L405" s="7">
        <v>2</v>
      </c>
      <c r="M405" s="7">
        <v>3</v>
      </c>
      <c r="N405" s="1">
        <f t="shared" si="46"/>
        <v>3</v>
      </c>
      <c r="O405" s="1" t="str">
        <f t="shared" si="45"/>
        <v>Exceeds Expectations</v>
      </c>
    </row>
    <row r="406" spans="1:15" x14ac:dyDescent="0.55000000000000004">
      <c r="A406" s="3">
        <v>1238911405</v>
      </c>
      <c r="B406" s="1" t="s">
        <v>14</v>
      </c>
      <c r="C406" s="6">
        <v>32028</v>
      </c>
      <c r="D406" s="6">
        <v>43374</v>
      </c>
      <c r="E406" s="6"/>
      <c r="F406" s="6"/>
      <c r="G406" s="1" t="s">
        <v>63</v>
      </c>
      <c r="H406" s="2">
        <v>77711.400000000009</v>
      </c>
      <c r="I406" s="7">
        <v>2</v>
      </c>
      <c r="J406" s="7">
        <v>2</v>
      </c>
      <c r="K406" s="7">
        <v>2</v>
      </c>
      <c r="L406" s="7">
        <v>3</v>
      </c>
      <c r="M406" s="7">
        <v>3</v>
      </c>
      <c r="N406" s="1">
        <f t="shared" si="46"/>
        <v>2</v>
      </c>
      <c r="O406" s="1" t="str">
        <f t="shared" si="45"/>
        <v>Meets Expectations</v>
      </c>
    </row>
    <row r="407" spans="1:15" x14ac:dyDescent="0.55000000000000004">
      <c r="A407" s="3">
        <v>1238911406</v>
      </c>
      <c r="B407" s="1" t="s">
        <v>14</v>
      </c>
      <c r="C407" s="6">
        <v>32034</v>
      </c>
      <c r="D407" s="6">
        <v>44713</v>
      </c>
      <c r="E407" s="6"/>
      <c r="F407" s="6"/>
      <c r="G407" s="1" t="s">
        <v>183</v>
      </c>
      <c r="H407" s="2">
        <v>60281.25</v>
      </c>
      <c r="I407" s="7">
        <v>3</v>
      </c>
      <c r="J407" s="7">
        <v>3</v>
      </c>
      <c r="K407" s="7">
        <v>3</v>
      </c>
      <c r="L407" s="7">
        <v>3</v>
      </c>
      <c r="M407" s="7">
        <v>2</v>
      </c>
      <c r="N407" s="1">
        <f t="shared" si="46"/>
        <v>3</v>
      </c>
      <c r="O407" s="1" t="str">
        <f t="shared" si="45"/>
        <v>Exceeds Expectations</v>
      </c>
    </row>
    <row r="408" spans="1:15" x14ac:dyDescent="0.55000000000000004">
      <c r="A408" s="3">
        <v>1238911407</v>
      </c>
      <c r="B408" s="1" t="s">
        <v>14</v>
      </c>
      <c r="C408" s="6">
        <v>32109</v>
      </c>
      <c r="D408" s="6">
        <v>40931</v>
      </c>
      <c r="E408" s="6"/>
      <c r="F408" s="6"/>
      <c r="G408" s="1" t="s">
        <v>184</v>
      </c>
      <c r="H408" s="2">
        <v>187500</v>
      </c>
      <c r="I408" s="7">
        <v>3</v>
      </c>
      <c r="J408" s="7">
        <v>2</v>
      </c>
      <c r="K408" s="7">
        <v>2</v>
      </c>
      <c r="L408" s="7">
        <v>2</v>
      </c>
      <c r="M408" s="7">
        <v>2</v>
      </c>
      <c r="N408" s="1">
        <f t="shared" si="46"/>
        <v>2</v>
      </c>
      <c r="O408" s="1" t="str">
        <f t="shared" si="45"/>
        <v>Meets Expectations</v>
      </c>
    </row>
    <row r="409" spans="1:15" x14ac:dyDescent="0.55000000000000004">
      <c r="A409" s="3">
        <v>1238911408</v>
      </c>
      <c r="B409" s="1" t="s">
        <v>14</v>
      </c>
      <c r="C409" s="6">
        <v>32141</v>
      </c>
      <c r="D409" s="6">
        <v>42819</v>
      </c>
      <c r="E409" s="6"/>
      <c r="F409" s="15" t="str">
        <f ca="1">IF(E409="",DATEDIF(D409,TODAY(),"y")&amp; "Years" &amp;DATEDIF(D409,TODAY(),"ym")&amp; "Months"&amp;DATEDIF(D409,TODAY(),"md") &amp;"Days",DATEDIF(D409,E409,"y")&amp; "Years" &amp;DATEDIF(D409,E409,"ym")&amp; "Months"&amp;DATEDIF(D409,E409,"md") &amp;"Days")</f>
        <v>9Years1Months18Days</v>
      </c>
      <c r="G409" s="1" t="s">
        <v>13</v>
      </c>
      <c r="H409" s="2">
        <v>28886</v>
      </c>
      <c r="I409" s="7">
        <v>2</v>
      </c>
      <c r="J409" s="7">
        <v>1</v>
      </c>
      <c r="K409" s="7">
        <v>1</v>
      </c>
      <c r="L409" s="7">
        <v>3</v>
      </c>
      <c r="M409" s="7">
        <v>3</v>
      </c>
      <c r="N409" s="1">
        <f t="shared" si="46"/>
        <v>2</v>
      </c>
      <c r="O409" s="1" t="str">
        <f t="shared" si="45"/>
        <v>Meets Expectations</v>
      </c>
    </row>
    <row r="410" spans="1:15" x14ac:dyDescent="0.55000000000000004">
      <c r="A410" s="3">
        <v>1238911409</v>
      </c>
      <c r="B410" s="1" t="s">
        <v>12</v>
      </c>
      <c r="C410" s="6">
        <v>32142</v>
      </c>
      <c r="D410" s="6">
        <v>41779</v>
      </c>
      <c r="E410" s="6"/>
      <c r="F410" s="6"/>
      <c r="G410" s="1" t="s">
        <v>63</v>
      </c>
      <c r="H410" s="2">
        <v>82468.75</v>
      </c>
      <c r="I410" s="7">
        <v>3</v>
      </c>
      <c r="J410" s="7">
        <v>3</v>
      </c>
      <c r="K410" s="7">
        <v>2</v>
      </c>
      <c r="L410" s="7">
        <v>2</v>
      </c>
      <c r="M410" s="7">
        <v>1</v>
      </c>
      <c r="N410" s="1">
        <f t="shared" si="46"/>
        <v>2</v>
      </c>
      <c r="O410" s="1" t="str">
        <f t="shared" si="45"/>
        <v>Meets Expectations</v>
      </c>
    </row>
    <row r="411" spans="1:15" x14ac:dyDescent="0.55000000000000004">
      <c r="A411" s="3">
        <v>1238911410</v>
      </c>
      <c r="B411" s="1" t="s">
        <v>12</v>
      </c>
      <c r="C411" s="6">
        <v>34709</v>
      </c>
      <c r="D411" s="6">
        <v>43397</v>
      </c>
      <c r="E411" s="6"/>
      <c r="F411" s="6"/>
      <c r="G411" s="1" t="s">
        <v>63</v>
      </c>
      <c r="H411" s="2">
        <v>82468.75</v>
      </c>
      <c r="I411" s="7">
        <v>3</v>
      </c>
      <c r="J411" s="7">
        <v>3</v>
      </c>
      <c r="K411" s="7">
        <v>2</v>
      </c>
      <c r="L411" s="7">
        <v>2</v>
      </c>
      <c r="M411" s="7">
        <v>2</v>
      </c>
      <c r="N411" s="1">
        <f t="shared" si="46"/>
        <v>2</v>
      </c>
      <c r="O411" s="1" t="str">
        <f t="shared" si="45"/>
        <v>Meets Expectations</v>
      </c>
    </row>
    <row r="412" spans="1:15" x14ac:dyDescent="0.55000000000000004">
      <c r="A412" s="3">
        <v>1238911411</v>
      </c>
      <c r="B412" s="1" t="s">
        <v>12</v>
      </c>
      <c r="C412" s="6">
        <v>32165</v>
      </c>
      <c r="D412" s="6">
        <v>45483</v>
      </c>
      <c r="E412" s="6"/>
      <c r="F412" s="6"/>
      <c r="G412" s="1" t="s">
        <v>185</v>
      </c>
      <c r="H412" s="2">
        <v>55354</v>
      </c>
      <c r="I412" s="7">
        <v>1</v>
      </c>
      <c r="J412" s="7">
        <v>2</v>
      </c>
      <c r="K412" s="7">
        <v>3</v>
      </c>
      <c r="L412" s="7">
        <v>2</v>
      </c>
      <c r="M412" s="7">
        <v>1</v>
      </c>
      <c r="N412" s="1">
        <f t="shared" si="46"/>
        <v>2</v>
      </c>
      <c r="O412" s="1" t="str">
        <f t="shared" si="45"/>
        <v>Meets Expectations</v>
      </c>
    </row>
    <row r="413" spans="1:15" x14ac:dyDescent="0.55000000000000004">
      <c r="A413" s="3">
        <v>1238911412</v>
      </c>
      <c r="B413" s="1" t="s">
        <v>14</v>
      </c>
      <c r="C413" s="6">
        <v>32176</v>
      </c>
      <c r="D413" s="6">
        <v>44104</v>
      </c>
      <c r="E413" s="6"/>
      <c r="F413" s="15" t="str">
        <f t="shared" ref="F413:F414" ca="1" si="47">IF(E413="",DATEDIF(D413,TODAY(),"y")&amp; "Years" &amp;DATEDIF(D413,TODAY(),"ym")&amp; "Months"&amp;DATEDIF(D413,TODAY(),"md") &amp;"Days",DATEDIF(D413,E413,"y")&amp; "Years" &amp;DATEDIF(D413,E413,"ym")&amp; "Months"&amp;DATEDIF(D413,E413,"md") &amp;"Days")</f>
        <v>5Years7Months13Days</v>
      </c>
      <c r="G413" s="1" t="s">
        <v>96</v>
      </c>
      <c r="H413" s="2">
        <v>31512.5</v>
      </c>
      <c r="I413" s="7">
        <v>3</v>
      </c>
      <c r="J413" s="7">
        <v>2</v>
      </c>
      <c r="K413" s="7">
        <v>2</v>
      </c>
      <c r="L413" s="7">
        <v>1</v>
      </c>
      <c r="M413" s="7">
        <v>2</v>
      </c>
      <c r="N413" s="1">
        <f t="shared" si="46"/>
        <v>2</v>
      </c>
      <c r="O413" s="1" t="str">
        <f t="shared" si="45"/>
        <v>Meets Expectations</v>
      </c>
    </row>
    <row r="414" spans="1:15" x14ac:dyDescent="0.55000000000000004">
      <c r="A414" s="3">
        <v>1238911413</v>
      </c>
      <c r="B414" s="1" t="s">
        <v>14</v>
      </c>
      <c r="C414" s="6">
        <v>32176</v>
      </c>
      <c r="D414" s="6">
        <v>41228</v>
      </c>
      <c r="E414" s="6"/>
      <c r="F414" s="15" t="str">
        <f t="shared" ca="1" si="47"/>
        <v>13Years5Months28Days</v>
      </c>
      <c r="G414" s="1" t="s">
        <v>96</v>
      </c>
      <c r="H414" s="2">
        <v>31512.5</v>
      </c>
      <c r="I414" s="7">
        <v>3</v>
      </c>
      <c r="J414" s="7">
        <v>2</v>
      </c>
      <c r="K414" s="7">
        <v>3</v>
      </c>
      <c r="L414" s="7">
        <v>1</v>
      </c>
      <c r="M414" s="7">
        <v>1</v>
      </c>
      <c r="N414" s="1">
        <f t="shared" si="46"/>
        <v>2</v>
      </c>
      <c r="O414" s="1" t="str">
        <f t="shared" si="45"/>
        <v>Meets Expectations</v>
      </c>
    </row>
    <row r="415" spans="1:15" x14ac:dyDescent="0.55000000000000004">
      <c r="A415" s="3">
        <v>1238911414</v>
      </c>
      <c r="B415" s="1" t="s">
        <v>12</v>
      </c>
      <c r="C415" s="6">
        <v>32188</v>
      </c>
      <c r="D415" s="6">
        <v>42981</v>
      </c>
      <c r="E415" s="6"/>
      <c r="F415" s="6"/>
      <c r="G415" s="1" t="s">
        <v>186</v>
      </c>
      <c r="H415" s="2">
        <v>153518.625</v>
      </c>
      <c r="I415" s="7">
        <v>3</v>
      </c>
      <c r="J415" s="7">
        <v>3</v>
      </c>
      <c r="K415" s="7">
        <v>3</v>
      </c>
      <c r="L415" s="7">
        <v>3</v>
      </c>
      <c r="M415" s="7">
        <v>2</v>
      </c>
      <c r="N415" s="1">
        <f t="shared" si="46"/>
        <v>3</v>
      </c>
      <c r="O415" s="1" t="str">
        <f t="shared" si="45"/>
        <v>Exceeds Expectations</v>
      </c>
    </row>
    <row r="416" spans="1:15" x14ac:dyDescent="0.55000000000000004">
      <c r="A416" s="3">
        <v>1238911415</v>
      </c>
      <c r="B416" s="1" t="s">
        <v>12</v>
      </c>
      <c r="C416" s="6">
        <v>32259</v>
      </c>
      <c r="D416" s="6">
        <v>41542</v>
      </c>
      <c r="E416" s="6"/>
      <c r="F416" s="6"/>
      <c r="G416" s="1" t="s">
        <v>187</v>
      </c>
      <c r="H416" s="2">
        <v>70353.75</v>
      </c>
      <c r="I416" s="7">
        <v>3</v>
      </c>
      <c r="J416" s="7">
        <v>1</v>
      </c>
      <c r="K416" s="7">
        <v>1</v>
      </c>
      <c r="L416" s="7">
        <v>3</v>
      </c>
      <c r="M416" s="7">
        <v>2</v>
      </c>
      <c r="N416" s="1">
        <f t="shared" si="46"/>
        <v>2</v>
      </c>
      <c r="O416" s="1" t="str">
        <f t="shared" si="45"/>
        <v>Meets Expectations</v>
      </c>
    </row>
    <row r="417" spans="1:15" x14ac:dyDescent="0.55000000000000004">
      <c r="A417" s="3">
        <v>1238911416</v>
      </c>
      <c r="B417" s="1" t="s">
        <v>14</v>
      </c>
      <c r="C417" s="6">
        <v>32304</v>
      </c>
      <c r="D417" s="6">
        <v>42389</v>
      </c>
      <c r="E417" s="6">
        <v>43351</v>
      </c>
      <c r="F417" s="15" t="str">
        <f t="shared" ref="F417:F419" ca="1" si="48">IF(E417="",DATEDIF(D417,TODAY(),"y")&amp; "Years" &amp;DATEDIF(D417,TODAY(),"ym")&amp; "Months"&amp;DATEDIF(D417,TODAY(),"md") &amp;"Days",DATEDIF(D417,E417,"y")&amp; "Years" &amp;DATEDIF(D417,E417,"ym")&amp; "Months"&amp;DATEDIF(D417,E417,"md") &amp;"Days")</f>
        <v>2Years7Months19Days</v>
      </c>
      <c r="G417" s="1" t="s">
        <v>188</v>
      </c>
      <c r="H417" s="2">
        <v>39650</v>
      </c>
      <c r="I417" s="7">
        <v>2</v>
      </c>
      <c r="J417" s="7">
        <v>1</v>
      </c>
      <c r="K417" s="7">
        <v>1</v>
      </c>
      <c r="L417" s="7">
        <v>2</v>
      </c>
      <c r="M417" s="7">
        <v>2</v>
      </c>
      <c r="N417" s="1">
        <f t="shared" si="46"/>
        <v>2</v>
      </c>
      <c r="O417" s="1" t="str">
        <f t="shared" si="45"/>
        <v>Meets Expectations</v>
      </c>
    </row>
    <row r="418" spans="1:15" x14ac:dyDescent="0.55000000000000004">
      <c r="A418" s="3">
        <v>1238911417</v>
      </c>
      <c r="B418" s="1" t="s">
        <v>14</v>
      </c>
      <c r="C418" s="6">
        <v>32304</v>
      </c>
      <c r="D418" s="6">
        <v>42389</v>
      </c>
      <c r="E418" s="6"/>
      <c r="F418" s="15" t="str">
        <f t="shared" ca="1" si="48"/>
        <v>10Years3Months23Days</v>
      </c>
      <c r="G418" s="1" t="s">
        <v>188</v>
      </c>
      <c r="H418" s="2">
        <v>39650</v>
      </c>
      <c r="I418" s="7">
        <v>1</v>
      </c>
      <c r="J418" s="7">
        <v>2</v>
      </c>
      <c r="K418" s="7">
        <v>3</v>
      </c>
      <c r="L418" s="7">
        <v>2</v>
      </c>
      <c r="M418" s="7">
        <v>3</v>
      </c>
      <c r="N418" s="1">
        <f t="shared" si="46"/>
        <v>2</v>
      </c>
      <c r="O418" s="1" t="str">
        <f t="shared" si="45"/>
        <v>Meets Expectations</v>
      </c>
    </row>
    <row r="419" spans="1:15" x14ac:dyDescent="0.55000000000000004">
      <c r="A419" s="3">
        <v>1238911418</v>
      </c>
      <c r="B419" s="1" t="s">
        <v>14</v>
      </c>
      <c r="C419" s="6">
        <v>32322</v>
      </c>
      <c r="D419" s="6">
        <v>42994</v>
      </c>
      <c r="E419" s="6"/>
      <c r="F419" s="15" t="str">
        <f t="shared" ca="1" si="48"/>
        <v>8Years7Months27Days</v>
      </c>
      <c r="G419" s="1" t="s">
        <v>92</v>
      </c>
      <c r="H419" s="2">
        <v>28600</v>
      </c>
      <c r="I419" s="7">
        <v>2</v>
      </c>
      <c r="J419" s="7">
        <v>2</v>
      </c>
      <c r="K419" s="7">
        <v>3</v>
      </c>
      <c r="L419" s="7">
        <v>3</v>
      </c>
      <c r="M419" s="7">
        <v>3</v>
      </c>
      <c r="N419" s="1">
        <f t="shared" si="46"/>
        <v>3</v>
      </c>
      <c r="O419" s="1" t="str">
        <f t="shared" si="45"/>
        <v>Exceeds Expectations</v>
      </c>
    </row>
    <row r="420" spans="1:15" x14ac:dyDescent="0.55000000000000004">
      <c r="A420" s="3">
        <v>1238911419</v>
      </c>
      <c r="B420" s="1" t="s">
        <v>12</v>
      </c>
      <c r="C420" s="6">
        <v>32326</v>
      </c>
      <c r="D420" s="6">
        <v>41390</v>
      </c>
      <c r="E420" s="6">
        <v>44335</v>
      </c>
      <c r="F420" s="6"/>
      <c r="G420" s="1" t="s">
        <v>96</v>
      </c>
      <c r="H420" s="2">
        <v>31512.5</v>
      </c>
      <c r="I420" s="7">
        <v>1</v>
      </c>
      <c r="J420" s="7">
        <v>1</v>
      </c>
      <c r="K420" s="7">
        <v>1</v>
      </c>
      <c r="L420" s="7">
        <v>2</v>
      </c>
      <c r="M420" s="7">
        <v>2</v>
      </c>
      <c r="N420" s="1">
        <f t="shared" si="46"/>
        <v>1</v>
      </c>
      <c r="O420" s="1" t="str">
        <f t="shared" si="45"/>
        <v>Below Expectations</v>
      </c>
    </row>
    <row r="421" spans="1:15" x14ac:dyDescent="0.55000000000000004">
      <c r="A421" s="3">
        <v>1238911420</v>
      </c>
      <c r="B421" s="1" t="s">
        <v>12</v>
      </c>
      <c r="C421" s="6">
        <v>32336</v>
      </c>
      <c r="D421" s="6">
        <v>41325</v>
      </c>
      <c r="E421" s="6"/>
      <c r="F421" s="6"/>
      <c r="G421" s="1" t="s">
        <v>189</v>
      </c>
      <c r="H421" s="2">
        <v>62400</v>
      </c>
      <c r="I421" s="7">
        <v>2</v>
      </c>
      <c r="J421" s="7">
        <v>3</v>
      </c>
      <c r="K421" s="7">
        <v>2</v>
      </c>
      <c r="L421" s="7">
        <v>2</v>
      </c>
      <c r="M421" s="7">
        <v>1</v>
      </c>
      <c r="N421" s="1">
        <f t="shared" si="46"/>
        <v>2</v>
      </c>
      <c r="O421" s="1" t="str">
        <f t="shared" si="45"/>
        <v>Meets Expectations</v>
      </c>
    </row>
    <row r="422" spans="1:15" x14ac:dyDescent="0.55000000000000004">
      <c r="A422" s="3">
        <v>1238911421</v>
      </c>
      <c r="B422" s="1" t="s">
        <v>14</v>
      </c>
      <c r="C422" s="6">
        <v>32349</v>
      </c>
      <c r="D422" s="6">
        <v>42230</v>
      </c>
      <c r="E422" s="6"/>
      <c r="F422" s="15" t="str">
        <f ca="1">IF(E422="",DATEDIF(D422,TODAY(),"y")&amp; "Years" &amp;DATEDIF(D422,TODAY(),"ym")&amp; "Months"&amp;DATEDIF(D422,TODAY(),"md") &amp;"Days",DATEDIF(D422,E422,"y")&amp; "Years" &amp;DATEDIF(D422,E422,"ym")&amp; "Months"&amp;DATEDIF(D422,E422,"md") &amp;"Days")</f>
        <v>10Years8Months29Days</v>
      </c>
      <c r="G422" s="1" t="s">
        <v>87</v>
      </c>
      <c r="H422" s="2">
        <v>31200</v>
      </c>
      <c r="I422" s="7">
        <v>2</v>
      </c>
      <c r="J422" s="7">
        <v>2</v>
      </c>
      <c r="K422" s="7">
        <v>2</v>
      </c>
      <c r="L422" s="7">
        <v>3</v>
      </c>
      <c r="M422" s="7">
        <v>2</v>
      </c>
      <c r="N422" s="1">
        <f t="shared" si="46"/>
        <v>2</v>
      </c>
      <c r="O422" s="1" t="str">
        <f t="shared" si="45"/>
        <v>Meets Expectations</v>
      </c>
    </row>
    <row r="423" spans="1:15" x14ac:dyDescent="0.55000000000000004">
      <c r="A423" s="3">
        <v>1238911422</v>
      </c>
      <c r="B423" s="1" t="s">
        <v>12</v>
      </c>
      <c r="C423" s="6">
        <v>32376</v>
      </c>
      <c r="D423" s="6">
        <v>41527</v>
      </c>
      <c r="E423" s="6"/>
      <c r="F423" s="6"/>
      <c r="G423" s="1" t="s">
        <v>190</v>
      </c>
      <c r="H423" s="2">
        <v>80990</v>
      </c>
      <c r="I423" s="7">
        <v>3</v>
      </c>
      <c r="J423" s="7">
        <v>1</v>
      </c>
      <c r="K423" s="7">
        <v>3</v>
      </c>
      <c r="L423" s="7">
        <v>2</v>
      </c>
      <c r="M423" s="7">
        <v>2</v>
      </c>
      <c r="N423" s="1">
        <f t="shared" si="46"/>
        <v>2</v>
      </c>
      <c r="O423" s="1" t="str">
        <f t="shared" si="45"/>
        <v>Meets Expectations</v>
      </c>
    </row>
    <row r="424" spans="1:15" x14ac:dyDescent="0.55000000000000004">
      <c r="A424" s="3">
        <v>1238911423</v>
      </c>
      <c r="B424" s="1" t="s">
        <v>12</v>
      </c>
      <c r="C424" s="6">
        <v>32379</v>
      </c>
      <c r="D424" s="6">
        <v>41305</v>
      </c>
      <c r="E424" s="6"/>
      <c r="F424" s="6"/>
      <c r="G424" s="1" t="s">
        <v>99</v>
      </c>
      <c r="H424" s="2">
        <v>126809.47500000001</v>
      </c>
      <c r="I424" s="7">
        <v>2</v>
      </c>
      <c r="J424" s="7">
        <v>2</v>
      </c>
      <c r="K424" s="7">
        <v>3</v>
      </c>
      <c r="L424" s="7">
        <v>2</v>
      </c>
      <c r="M424" s="7">
        <v>3</v>
      </c>
      <c r="N424" s="1">
        <f t="shared" si="46"/>
        <v>2</v>
      </c>
      <c r="O424" s="1" t="str">
        <f t="shared" si="45"/>
        <v>Meets Expectations</v>
      </c>
    </row>
    <row r="425" spans="1:15" x14ac:dyDescent="0.55000000000000004">
      <c r="A425" s="3">
        <v>1238911424</v>
      </c>
      <c r="B425" s="1" t="s">
        <v>14</v>
      </c>
      <c r="C425" s="6">
        <v>32398</v>
      </c>
      <c r="D425" s="6">
        <v>42729</v>
      </c>
      <c r="E425" s="6"/>
      <c r="F425" s="6"/>
      <c r="G425" s="1" t="s">
        <v>191</v>
      </c>
      <c r="H425" s="2">
        <v>64062.5</v>
      </c>
      <c r="I425" s="7">
        <v>3</v>
      </c>
      <c r="J425" s="7">
        <v>3</v>
      </c>
      <c r="K425" s="7">
        <v>3</v>
      </c>
      <c r="L425" s="7">
        <v>1</v>
      </c>
      <c r="M425" s="7">
        <v>1</v>
      </c>
      <c r="N425" s="1">
        <f t="shared" si="46"/>
        <v>2</v>
      </c>
      <c r="O425" s="1" t="str">
        <f t="shared" si="45"/>
        <v>Meets Expectations</v>
      </c>
    </row>
    <row r="426" spans="1:15" x14ac:dyDescent="0.55000000000000004">
      <c r="A426" s="3">
        <v>1238911425</v>
      </c>
      <c r="B426" s="1" t="s">
        <v>12</v>
      </c>
      <c r="C426" s="6">
        <v>32406</v>
      </c>
      <c r="D426" s="6">
        <v>42641</v>
      </c>
      <c r="E426" s="6"/>
      <c r="F426" s="6"/>
      <c r="G426" s="1" t="s">
        <v>157</v>
      </c>
      <c r="H426" s="2">
        <v>75000</v>
      </c>
      <c r="I426" s="7">
        <v>3</v>
      </c>
      <c r="J426" s="7">
        <v>2</v>
      </c>
      <c r="K426" s="7">
        <v>1</v>
      </c>
      <c r="L426" s="7">
        <v>1</v>
      </c>
      <c r="M426" s="7">
        <v>1</v>
      </c>
      <c r="N426" s="1">
        <f t="shared" si="46"/>
        <v>2</v>
      </c>
      <c r="O426" s="1" t="str">
        <f t="shared" si="45"/>
        <v>Meets Expectations</v>
      </c>
    </row>
    <row r="427" spans="1:15" x14ac:dyDescent="0.55000000000000004">
      <c r="A427" s="3">
        <v>1238911426</v>
      </c>
      <c r="B427" s="1" t="s">
        <v>14</v>
      </c>
      <c r="C427" s="6">
        <v>32419</v>
      </c>
      <c r="D427" s="6">
        <v>42550</v>
      </c>
      <c r="E427" s="6"/>
      <c r="F427" s="6"/>
      <c r="G427" s="1" t="s">
        <v>192</v>
      </c>
      <c r="H427" s="2">
        <v>83687.5</v>
      </c>
      <c r="I427" s="7">
        <v>2</v>
      </c>
      <c r="J427" s="7">
        <v>1</v>
      </c>
      <c r="K427" s="7">
        <v>3</v>
      </c>
      <c r="L427" s="7">
        <v>3</v>
      </c>
      <c r="M427" s="7">
        <v>2</v>
      </c>
      <c r="N427" s="1">
        <f t="shared" si="46"/>
        <v>2</v>
      </c>
      <c r="O427" s="1" t="str">
        <f t="shared" si="45"/>
        <v>Meets Expectations</v>
      </c>
    </row>
    <row r="428" spans="1:15" x14ac:dyDescent="0.55000000000000004">
      <c r="A428" s="3">
        <v>1238911427</v>
      </c>
      <c r="B428" s="1" t="s">
        <v>14</v>
      </c>
      <c r="C428" s="6">
        <v>32449</v>
      </c>
      <c r="D428" s="6">
        <v>42245</v>
      </c>
      <c r="E428" s="6"/>
      <c r="F428" s="6"/>
      <c r="G428" s="1" t="s">
        <v>193</v>
      </c>
      <c r="H428" s="2">
        <v>128243.375</v>
      </c>
      <c r="I428" s="7">
        <v>2</v>
      </c>
      <c r="J428" s="7">
        <v>3</v>
      </c>
      <c r="K428" s="7">
        <v>3</v>
      </c>
      <c r="L428" s="7">
        <v>3</v>
      </c>
      <c r="M428" s="7">
        <v>2</v>
      </c>
      <c r="N428" s="1">
        <f t="shared" si="46"/>
        <v>3</v>
      </c>
      <c r="O428" s="1" t="str">
        <f t="shared" si="45"/>
        <v>Exceeds Expectations</v>
      </c>
    </row>
    <row r="429" spans="1:15" x14ac:dyDescent="0.55000000000000004">
      <c r="A429" s="3">
        <v>1238911428</v>
      </c>
      <c r="B429" s="1" t="s">
        <v>12</v>
      </c>
      <c r="C429" s="6">
        <v>32472</v>
      </c>
      <c r="D429" s="6">
        <v>43695</v>
      </c>
      <c r="E429" s="6"/>
      <c r="F429" s="6"/>
      <c r="G429" s="1" t="s">
        <v>194</v>
      </c>
      <c r="H429" s="2">
        <v>50050</v>
      </c>
      <c r="I429" s="7">
        <v>1</v>
      </c>
      <c r="J429" s="7">
        <v>3</v>
      </c>
      <c r="K429" s="7">
        <v>1</v>
      </c>
      <c r="L429" s="7">
        <v>1</v>
      </c>
      <c r="M429" s="7">
        <v>2</v>
      </c>
      <c r="N429" s="1">
        <f t="shared" si="46"/>
        <v>2</v>
      </c>
      <c r="O429" s="1" t="str">
        <f t="shared" si="45"/>
        <v>Meets Expectations</v>
      </c>
    </row>
    <row r="430" spans="1:15" x14ac:dyDescent="0.55000000000000004">
      <c r="A430" s="3">
        <v>1238911429</v>
      </c>
      <c r="B430" s="1" t="s">
        <v>12</v>
      </c>
      <c r="C430" s="6">
        <v>32486</v>
      </c>
      <c r="D430" s="6">
        <v>42223</v>
      </c>
      <c r="E430" s="6"/>
      <c r="F430" s="6"/>
      <c r="G430" s="1" t="s">
        <v>190</v>
      </c>
      <c r="H430" s="2">
        <v>88114</v>
      </c>
      <c r="I430" s="7">
        <v>3</v>
      </c>
      <c r="J430" s="7">
        <v>2</v>
      </c>
      <c r="K430" s="7">
        <v>1</v>
      </c>
      <c r="L430" s="7">
        <v>2</v>
      </c>
      <c r="M430" s="7">
        <v>2</v>
      </c>
      <c r="N430" s="1">
        <f t="shared" si="46"/>
        <v>2</v>
      </c>
      <c r="O430" s="1" t="str">
        <f t="shared" si="45"/>
        <v>Meets Expectations</v>
      </c>
    </row>
    <row r="431" spans="1:15" x14ac:dyDescent="0.55000000000000004">
      <c r="A431" s="3">
        <v>1238911430</v>
      </c>
      <c r="B431" s="1" t="s">
        <v>14</v>
      </c>
      <c r="C431" s="6">
        <v>32525</v>
      </c>
      <c r="D431" s="6">
        <v>41226</v>
      </c>
      <c r="E431" s="6"/>
      <c r="F431" s="6"/>
      <c r="G431" s="1" t="s">
        <v>195</v>
      </c>
      <c r="H431" s="2">
        <v>61875.125</v>
      </c>
      <c r="I431" s="7">
        <v>1</v>
      </c>
      <c r="J431" s="7">
        <v>3</v>
      </c>
      <c r="K431" s="7">
        <v>1</v>
      </c>
      <c r="L431" s="7">
        <v>2</v>
      </c>
      <c r="M431" s="7">
        <v>3</v>
      </c>
      <c r="N431" s="1">
        <f t="shared" si="46"/>
        <v>2</v>
      </c>
      <c r="O431" s="1" t="str">
        <f t="shared" si="45"/>
        <v>Meets Expectations</v>
      </c>
    </row>
    <row r="432" spans="1:15" x14ac:dyDescent="0.55000000000000004">
      <c r="A432" s="3">
        <v>1238911431</v>
      </c>
      <c r="B432" s="1" t="s">
        <v>12</v>
      </c>
      <c r="C432" s="6">
        <v>32561</v>
      </c>
      <c r="D432" s="6">
        <v>41539</v>
      </c>
      <c r="E432" s="6"/>
      <c r="F432" s="6"/>
      <c r="G432" s="1" t="s">
        <v>185</v>
      </c>
      <c r="H432" s="2">
        <v>51012</v>
      </c>
      <c r="I432" s="7">
        <v>2</v>
      </c>
      <c r="J432" s="7">
        <v>3</v>
      </c>
      <c r="K432" s="7">
        <v>1</v>
      </c>
      <c r="L432" s="7">
        <v>3</v>
      </c>
      <c r="M432" s="7">
        <v>3</v>
      </c>
      <c r="N432" s="1">
        <f t="shared" si="46"/>
        <v>2</v>
      </c>
      <c r="O432" s="1" t="str">
        <f t="shared" si="45"/>
        <v>Meets Expectations</v>
      </c>
    </row>
    <row r="433" spans="1:15" x14ac:dyDescent="0.55000000000000004">
      <c r="A433" s="3">
        <v>1238911432</v>
      </c>
      <c r="B433" s="1" t="s">
        <v>12</v>
      </c>
      <c r="C433" s="6">
        <v>32561</v>
      </c>
      <c r="D433" s="6">
        <v>42119</v>
      </c>
      <c r="E433" s="6">
        <v>45511</v>
      </c>
      <c r="F433" s="6"/>
      <c r="G433" s="1" t="s">
        <v>185</v>
      </c>
      <c r="H433" s="2">
        <v>51012</v>
      </c>
      <c r="I433" s="7">
        <v>1</v>
      </c>
      <c r="J433" s="7">
        <v>2</v>
      </c>
      <c r="K433" s="7">
        <v>1</v>
      </c>
      <c r="L433" s="7">
        <v>3</v>
      </c>
      <c r="M433" s="7">
        <v>3</v>
      </c>
      <c r="N433" s="1">
        <f t="shared" si="46"/>
        <v>2</v>
      </c>
      <c r="O433" s="1" t="str">
        <f t="shared" si="45"/>
        <v>Meets Expectations</v>
      </c>
    </row>
    <row r="434" spans="1:15" x14ac:dyDescent="0.55000000000000004">
      <c r="A434" s="3">
        <v>1238911433</v>
      </c>
      <c r="B434" s="1" t="s">
        <v>12</v>
      </c>
      <c r="C434" s="6">
        <v>32580</v>
      </c>
      <c r="D434" s="6">
        <v>44090</v>
      </c>
      <c r="E434" s="6"/>
      <c r="F434" s="6"/>
      <c r="G434" s="1" t="s">
        <v>185</v>
      </c>
      <c r="H434" s="2">
        <v>57928</v>
      </c>
      <c r="I434" s="7">
        <v>3</v>
      </c>
      <c r="J434" s="7">
        <v>3</v>
      </c>
      <c r="K434" s="7">
        <v>2</v>
      </c>
      <c r="L434" s="7">
        <v>1</v>
      </c>
      <c r="M434" s="7">
        <v>1</v>
      </c>
      <c r="N434" s="1">
        <f t="shared" si="46"/>
        <v>2</v>
      </c>
      <c r="O434" s="1" t="str">
        <f t="shared" si="45"/>
        <v>Meets Expectations</v>
      </c>
    </row>
    <row r="435" spans="1:15" x14ac:dyDescent="0.55000000000000004">
      <c r="A435" s="3">
        <v>1238911434</v>
      </c>
      <c r="B435" s="1" t="s">
        <v>12</v>
      </c>
      <c r="C435" s="6">
        <v>32601</v>
      </c>
      <c r="D435" s="6">
        <v>41461</v>
      </c>
      <c r="E435" s="6"/>
      <c r="F435" s="6"/>
      <c r="G435" s="1" t="s">
        <v>196</v>
      </c>
      <c r="H435" s="2">
        <v>91961.674999999988</v>
      </c>
      <c r="I435" s="7">
        <v>2</v>
      </c>
      <c r="J435" s="7">
        <v>2</v>
      </c>
      <c r="K435" s="7">
        <v>1</v>
      </c>
      <c r="L435" s="7">
        <v>1</v>
      </c>
      <c r="M435" s="7">
        <v>2</v>
      </c>
      <c r="N435" s="1">
        <f t="shared" si="46"/>
        <v>2</v>
      </c>
      <c r="O435" s="1" t="str">
        <f t="shared" si="45"/>
        <v>Meets Expectations</v>
      </c>
    </row>
    <row r="436" spans="1:15" x14ac:dyDescent="0.55000000000000004">
      <c r="A436" s="3">
        <v>1238911435</v>
      </c>
      <c r="B436" s="1" t="s">
        <v>12</v>
      </c>
      <c r="C436" s="6">
        <v>32601</v>
      </c>
      <c r="D436" s="6">
        <v>41461</v>
      </c>
      <c r="E436" s="6"/>
      <c r="F436" s="6"/>
      <c r="G436" s="1" t="s">
        <v>196</v>
      </c>
      <c r="H436" s="2">
        <v>91961.674999999988</v>
      </c>
      <c r="I436" s="7">
        <v>1</v>
      </c>
      <c r="J436" s="7">
        <v>3</v>
      </c>
      <c r="K436" s="7">
        <v>3</v>
      </c>
      <c r="L436" s="7">
        <v>1</v>
      </c>
      <c r="M436" s="7">
        <v>3</v>
      </c>
      <c r="N436" s="1">
        <f t="shared" si="46"/>
        <v>2</v>
      </c>
      <c r="O436" s="1" t="str">
        <f t="shared" si="45"/>
        <v>Meets Expectations</v>
      </c>
    </row>
    <row r="437" spans="1:15" x14ac:dyDescent="0.55000000000000004">
      <c r="A437" s="3">
        <v>1238911436</v>
      </c>
      <c r="B437" s="1" t="s">
        <v>12</v>
      </c>
      <c r="C437" s="6">
        <v>32606</v>
      </c>
      <c r="D437" s="6">
        <v>43870</v>
      </c>
      <c r="E437" s="6"/>
      <c r="F437" s="6"/>
      <c r="G437" s="1" t="s">
        <v>13</v>
      </c>
      <c r="H437" s="2">
        <v>31200</v>
      </c>
      <c r="I437" s="7">
        <v>3</v>
      </c>
      <c r="J437" s="7">
        <v>3</v>
      </c>
      <c r="K437" s="7">
        <v>1</v>
      </c>
      <c r="L437" s="7">
        <v>2</v>
      </c>
      <c r="M437" s="7">
        <v>2</v>
      </c>
      <c r="N437" s="1">
        <f t="shared" si="46"/>
        <v>2</v>
      </c>
      <c r="O437" s="1" t="str">
        <f t="shared" si="45"/>
        <v>Meets Expectations</v>
      </c>
    </row>
    <row r="438" spans="1:15" x14ac:dyDescent="0.55000000000000004">
      <c r="A438" s="3">
        <v>1238911437</v>
      </c>
      <c r="B438" s="1" t="s">
        <v>12</v>
      </c>
      <c r="C438" s="6">
        <v>32623</v>
      </c>
      <c r="D438" s="6">
        <v>41767</v>
      </c>
      <c r="E438" s="6">
        <v>42536</v>
      </c>
      <c r="F438" s="6"/>
      <c r="G438" s="1" t="s">
        <v>197</v>
      </c>
      <c r="H438" s="2">
        <v>63927.825000000004</v>
      </c>
      <c r="I438" s="7">
        <v>2</v>
      </c>
      <c r="J438" s="7">
        <v>1</v>
      </c>
      <c r="K438" s="7">
        <v>1</v>
      </c>
      <c r="L438" s="7">
        <v>2</v>
      </c>
      <c r="M438" s="7">
        <v>3</v>
      </c>
      <c r="N438" s="1">
        <f t="shared" si="46"/>
        <v>2</v>
      </c>
      <c r="O438" s="1" t="str">
        <f t="shared" si="45"/>
        <v>Meets Expectations</v>
      </c>
    </row>
    <row r="439" spans="1:15" x14ac:dyDescent="0.55000000000000004">
      <c r="A439" s="3">
        <v>1238911438</v>
      </c>
      <c r="B439" s="1" t="s">
        <v>14</v>
      </c>
      <c r="C439" s="6">
        <v>32684</v>
      </c>
      <c r="D439" s="6">
        <v>42041</v>
      </c>
      <c r="E439" s="6">
        <v>44867</v>
      </c>
      <c r="F439" s="6"/>
      <c r="G439" s="1" t="s">
        <v>198</v>
      </c>
      <c r="H439" s="2">
        <v>76187.5</v>
      </c>
      <c r="I439" s="7">
        <v>2</v>
      </c>
      <c r="J439" s="7">
        <v>2</v>
      </c>
      <c r="K439" s="7">
        <v>3</v>
      </c>
      <c r="L439" s="7">
        <v>3</v>
      </c>
      <c r="M439" s="7">
        <v>1</v>
      </c>
      <c r="N439" s="1">
        <f t="shared" si="46"/>
        <v>2</v>
      </c>
      <c r="O439" s="1" t="str">
        <f t="shared" si="45"/>
        <v>Meets Expectations</v>
      </c>
    </row>
    <row r="440" spans="1:15" x14ac:dyDescent="0.55000000000000004">
      <c r="A440" s="3">
        <v>1238911439</v>
      </c>
      <c r="B440" s="1" t="s">
        <v>12</v>
      </c>
      <c r="C440" s="6">
        <v>32695</v>
      </c>
      <c r="D440" s="6">
        <v>44504</v>
      </c>
      <c r="E440" s="6"/>
      <c r="F440" s="6"/>
      <c r="G440" s="1" t="s">
        <v>199</v>
      </c>
      <c r="H440" s="2">
        <v>61204</v>
      </c>
      <c r="I440" s="7">
        <v>1</v>
      </c>
      <c r="J440" s="7">
        <v>3</v>
      </c>
      <c r="K440" s="7">
        <v>3</v>
      </c>
      <c r="L440" s="7">
        <v>1</v>
      </c>
      <c r="M440" s="7">
        <v>1</v>
      </c>
      <c r="N440" s="1">
        <f t="shared" si="46"/>
        <v>2</v>
      </c>
      <c r="O440" s="1" t="str">
        <f t="shared" si="45"/>
        <v>Meets Expectations</v>
      </c>
    </row>
    <row r="441" spans="1:15" x14ac:dyDescent="0.55000000000000004">
      <c r="A441" s="3">
        <v>1238911440</v>
      </c>
      <c r="B441" s="1" t="s">
        <v>12</v>
      </c>
      <c r="C441" s="6">
        <v>32720</v>
      </c>
      <c r="D441" s="6">
        <v>44636</v>
      </c>
      <c r="E441" s="6"/>
      <c r="F441" s="6"/>
      <c r="G441" s="1" t="s">
        <v>200</v>
      </c>
      <c r="H441" s="2">
        <v>60000</v>
      </c>
      <c r="I441" s="7">
        <v>2</v>
      </c>
      <c r="J441" s="7">
        <v>2</v>
      </c>
      <c r="K441" s="7">
        <v>1</v>
      </c>
      <c r="L441" s="7">
        <v>2</v>
      </c>
      <c r="M441" s="7">
        <v>2</v>
      </c>
      <c r="N441" s="1">
        <f t="shared" si="46"/>
        <v>2</v>
      </c>
      <c r="O441" s="1" t="str">
        <f t="shared" si="45"/>
        <v>Meets Expectations</v>
      </c>
    </row>
    <row r="442" spans="1:15" x14ac:dyDescent="0.55000000000000004">
      <c r="A442" s="3">
        <v>1238911441</v>
      </c>
      <c r="B442" s="1" t="s">
        <v>12</v>
      </c>
      <c r="C442" s="6">
        <v>32723</v>
      </c>
      <c r="D442" s="6">
        <v>45000</v>
      </c>
      <c r="E442" s="6"/>
      <c r="F442" s="6"/>
      <c r="G442" s="1" t="s">
        <v>84</v>
      </c>
      <c r="H442" s="2">
        <v>39598</v>
      </c>
      <c r="I442" s="7">
        <v>2</v>
      </c>
      <c r="J442" s="7">
        <v>1</v>
      </c>
      <c r="K442" s="7">
        <v>1</v>
      </c>
      <c r="L442" s="7">
        <v>2</v>
      </c>
      <c r="M442" s="7">
        <v>2</v>
      </c>
      <c r="N442" s="1">
        <f t="shared" si="46"/>
        <v>2</v>
      </c>
      <c r="O442" s="1" t="str">
        <f t="shared" si="45"/>
        <v>Meets Expectations</v>
      </c>
    </row>
    <row r="443" spans="1:15" x14ac:dyDescent="0.55000000000000004">
      <c r="A443" s="3">
        <v>1238911442</v>
      </c>
      <c r="B443" s="1" t="s">
        <v>12</v>
      </c>
      <c r="C443" s="6">
        <v>31267</v>
      </c>
      <c r="D443" s="6">
        <v>43786</v>
      </c>
      <c r="E443" s="6">
        <v>44525</v>
      </c>
      <c r="F443" s="6"/>
      <c r="G443" s="1" t="s">
        <v>187</v>
      </c>
      <c r="H443" s="2">
        <v>83694</v>
      </c>
      <c r="I443" s="7">
        <v>2</v>
      </c>
      <c r="J443" s="7">
        <v>2</v>
      </c>
      <c r="K443" s="7">
        <v>2</v>
      </c>
      <c r="L443" s="7">
        <v>2</v>
      </c>
      <c r="M443" s="7">
        <v>3</v>
      </c>
      <c r="N443" s="1">
        <f t="shared" si="46"/>
        <v>2</v>
      </c>
      <c r="O443" s="1" t="str">
        <f t="shared" si="45"/>
        <v>Meets Expectations</v>
      </c>
    </row>
    <row r="444" spans="1:15" x14ac:dyDescent="0.55000000000000004">
      <c r="A444" s="3">
        <v>1238911443</v>
      </c>
      <c r="B444" s="1" t="s">
        <v>12</v>
      </c>
      <c r="C444" s="6">
        <v>32733</v>
      </c>
      <c r="D444" s="6">
        <v>43861</v>
      </c>
      <c r="E444" s="6"/>
      <c r="F444" s="6"/>
      <c r="G444" s="1" t="s">
        <v>134</v>
      </c>
      <c r="H444" s="2">
        <v>71041.25</v>
      </c>
      <c r="I444" s="7">
        <v>3</v>
      </c>
      <c r="J444" s="7">
        <v>1</v>
      </c>
      <c r="K444" s="7">
        <v>1</v>
      </c>
      <c r="L444" s="7">
        <v>2</v>
      </c>
      <c r="M444" s="7">
        <v>2</v>
      </c>
      <c r="N444" s="1">
        <f t="shared" si="46"/>
        <v>2</v>
      </c>
      <c r="O444" s="1" t="str">
        <f t="shared" si="45"/>
        <v>Meets Expectations</v>
      </c>
    </row>
    <row r="445" spans="1:15" x14ac:dyDescent="0.55000000000000004">
      <c r="A445" s="3">
        <v>1238911444</v>
      </c>
      <c r="B445" s="1" t="s">
        <v>12</v>
      </c>
      <c r="C445" s="6">
        <v>32847</v>
      </c>
      <c r="D445" s="6">
        <v>44905</v>
      </c>
      <c r="E445" s="6">
        <v>45140</v>
      </c>
      <c r="F445" s="6"/>
      <c r="G445" s="1" t="s">
        <v>201</v>
      </c>
      <c r="H445" s="2">
        <v>69187.625</v>
      </c>
      <c r="I445" s="7">
        <v>1</v>
      </c>
      <c r="J445" s="7">
        <v>3</v>
      </c>
      <c r="K445" s="7">
        <v>1</v>
      </c>
      <c r="L445" s="7">
        <v>1</v>
      </c>
      <c r="M445" s="7">
        <v>3</v>
      </c>
      <c r="N445" s="1">
        <f t="shared" si="46"/>
        <v>2</v>
      </c>
      <c r="O445" s="1" t="str">
        <f t="shared" si="45"/>
        <v>Meets Expectations</v>
      </c>
    </row>
    <row r="446" spans="1:15" x14ac:dyDescent="0.55000000000000004">
      <c r="A446" s="3">
        <v>1238911445</v>
      </c>
      <c r="B446" s="1" t="s">
        <v>12</v>
      </c>
      <c r="C446" s="6">
        <v>32768</v>
      </c>
      <c r="D446" s="6">
        <v>43091</v>
      </c>
      <c r="E446" s="6">
        <v>44713</v>
      </c>
      <c r="F446" s="6"/>
      <c r="G446" s="1" t="s">
        <v>202</v>
      </c>
      <c r="H446" s="2">
        <v>89249.875</v>
      </c>
      <c r="I446" s="7">
        <v>3</v>
      </c>
      <c r="J446" s="7">
        <v>2</v>
      </c>
      <c r="K446" s="7">
        <v>2</v>
      </c>
      <c r="L446" s="7">
        <v>1</v>
      </c>
      <c r="M446" s="7">
        <v>3</v>
      </c>
      <c r="N446" s="1">
        <f t="shared" si="46"/>
        <v>2</v>
      </c>
      <c r="O446" s="1" t="str">
        <f t="shared" si="45"/>
        <v>Meets Expectations</v>
      </c>
    </row>
    <row r="447" spans="1:15" x14ac:dyDescent="0.55000000000000004">
      <c r="A447" s="3">
        <v>1238911446</v>
      </c>
      <c r="B447" s="1" t="s">
        <v>12</v>
      </c>
      <c r="C447" s="6">
        <v>32785</v>
      </c>
      <c r="D447" s="6">
        <v>42609</v>
      </c>
      <c r="E447" s="6">
        <v>45525</v>
      </c>
      <c r="F447" s="6"/>
      <c r="G447" s="1" t="s">
        <v>185</v>
      </c>
      <c r="H447" s="2">
        <v>65625</v>
      </c>
      <c r="I447" s="7">
        <v>3</v>
      </c>
      <c r="J447" s="7">
        <v>3</v>
      </c>
      <c r="K447" s="7">
        <v>3</v>
      </c>
      <c r="L447" s="7">
        <v>2</v>
      </c>
      <c r="M447" s="7">
        <v>3</v>
      </c>
      <c r="N447" s="1">
        <f t="shared" si="46"/>
        <v>3</v>
      </c>
      <c r="O447" s="1" t="str">
        <f t="shared" si="45"/>
        <v>Exceeds Expectations</v>
      </c>
    </row>
    <row r="448" spans="1:15" x14ac:dyDescent="0.55000000000000004">
      <c r="A448" s="3">
        <v>1238911447</v>
      </c>
      <c r="B448" s="1" t="s">
        <v>12</v>
      </c>
      <c r="C448" s="6">
        <v>32791</v>
      </c>
      <c r="D448" s="6">
        <v>41019</v>
      </c>
      <c r="E448" s="6"/>
      <c r="F448" s="6"/>
      <c r="G448" s="1" t="s">
        <v>203</v>
      </c>
      <c r="H448" s="2">
        <v>41067.5</v>
      </c>
      <c r="I448" s="7">
        <v>1</v>
      </c>
      <c r="J448" s="7">
        <v>1</v>
      </c>
      <c r="K448" s="7">
        <v>2</v>
      </c>
      <c r="L448" s="7">
        <v>1</v>
      </c>
      <c r="M448" s="7">
        <v>2</v>
      </c>
      <c r="N448" s="1">
        <f t="shared" si="46"/>
        <v>1</v>
      </c>
      <c r="O448" s="1" t="str">
        <f t="shared" si="45"/>
        <v>Below Expectations</v>
      </c>
    </row>
    <row r="449" spans="1:15" x14ac:dyDescent="0.55000000000000004">
      <c r="A449" s="3">
        <v>1238911448</v>
      </c>
      <c r="B449" s="1" t="s">
        <v>12</v>
      </c>
      <c r="C449" s="6">
        <v>32806</v>
      </c>
      <c r="D449" s="6">
        <v>44755</v>
      </c>
      <c r="E449" s="6">
        <v>45260</v>
      </c>
      <c r="F449" s="6"/>
      <c r="G449" s="1" t="s">
        <v>183</v>
      </c>
      <c r="H449" s="2">
        <v>62816</v>
      </c>
      <c r="I449" s="7">
        <v>3</v>
      </c>
      <c r="J449" s="7">
        <v>1</v>
      </c>
      <c r="K449" s="7">
        <v>2</v>
      </c>
      <c r="L449" s="7">
        <v>2</v>
      </c>
      <c r="M449" s="7">
        <v>3</v>
      </c>
      <c r="N449" s="1">
        <f t="shared" si="46"/>
        <v>2</v>
      </c>
      <c r="O449" s="1" t="str">
        <f t="shared" si="45"/>
        <v>Meets Expectations</v>
      </c>
    </row>
    <row r="450" spans="1:15" x14ac:dyDescent="0.55000000000000004">
      <c r="A450" s="3">
        <v>1238911449</v>
      </c>
      <c r="B450" s="1" t="s">
        <v>14</v>
      </c>
      <c r="C450" s="6">
        <v>32841</v>
      </c>
      <c r="D450" s="6">
        <v>45435</v>
      </c>
      <c r="E450" s="6"/>
      <c r="F450" s="6"/>
      <c r="G450" s="1" t="s">
        <v>185</v>
      </c>
      <c r="H450" s="2">
        <v>51766</v>
      </c>
      <c r="I450" s="7">
        <v>3</v>
      </c>
      <c r="J450" s="7">
        <v>2</v>
      </c>
      <c r="K450" s="7">
        <v>3</v>
      </c>
      <c r="L450" s="7">
        <v>3</v>
      </c>
      <c r="M450" s="7">
        <v>3</v>
      </c>
      <c r="N450" s="1">
        <f t="shared" si="46"/>
        <v>3</v>
      </c>
      <c r="O450" s="1" t="str">
        <f t="shared" si="45"/>
        <v>Exceeds Expectations</v>
      </c>
    </row>
    <row r="451" spans="1:15" x14ac:dyDescent="0.55000000000000004">
      <c r="A451" s="3">
        <v>1238911450</v>
      </c>
      <c r="B451" s="1" t="s">
        <v>12</v>
      </c>
      <c r="C451" s="6">
        <v>32844</v>
      </c>
      <c r="D451" s="6">
        <v>42626</v>
      </c>
      <c r="E451" s="6">
        <v>45176</v>
      </c>
      <c r="F451" s="6"/>
      <c r="G451" s="1" t="s">
        <v>204</v>
      </c>
      <c r="H451" s="2">
        <v>39000</v>
      </c>
      <c r="I451" s="7">
        <v>1</v>
      </c>
      <c r="J451" s="7">
        <v>3</v>
      </c>
      <c r="K451" s="7">
        <v>3</v>
      </c>
      <c r="L451" s="7">
        <v>2</v>
      </c>
      <c r="M451" s="7">
        <v>1</v>
      </c>
      <c r="N451" s="1">
        <f t="shared" si="46"/>
        <v>2</v>
      </c>
      <c r="O451" s="1" t="str">
        <f t="shared" si="45"/>
        <v>Meets Expectations</v>
      </c>
    </row>
    <row r="452" spans="1:15" x14ac:dyDescent="0.55000000000000004">
      <c r="A452" s="3">
        <v>1238911451</v>
      </c>
      <c r="B452" s="1" t="s">
        <v>12</v>
      </c>
      <c r="C452" s="6">
        <v>32880</v>
      </c>
      <c r="D452" s="6">
        <v>43848</v>
      </c>
      <c r="E452" s="6">
        <v>45035</v>
      </c>
      <c r="F452" s="6"/>
      <c r="G452" s="1" t="s">
        <v>63</v>
      </c>
      <c r="H452" s="2">
        <v>83687.5</v>
      </c>
      <c r="I452" s="7">
        <v>3</v>
      </c>
      <c r="J452" s="7">
        <v>2</v>
      </c>
      <c r="K452" s="7">
        <v>2</v>
      </c>
      <c r="L452" s="7">
        <v>2</v>
      </c>
      <c r="M452" s="7">
        <v>2</v>
      </c>
      <c r="N452" s="1">
        <f t="shared" si="46"/>
        <v>2</v>
      </c>
      <c r="O452" s="1" t="str">
        <f t="shared" ref="O452:O515" si="49">IF(N452=1,"Below Expectations",IF(N452=2,"Meets Expectations","Exceeds Expectations"))</f>
        <v>Meets Expectations</v>
      </c>
    </row>
    <row r="453" spans="1:15" x14ac:dyDescent="0.55000000000000004">
      <c r="A453" s="3">
        <v>1238911452</v>
      </c>
      <c r="B453" s="1" t="s">
        <v>12</v>
      </c>
      <c r="C453" s="6">
        <v>31436</v>
      </c>
      <c r="D453" s="6">
        <v>43148</v>
      </c>
      <c r="E453" s="6">
        <v>44613</v>
      </c>
      <c r="F453" s="6"/>
      <c r="G453" s="1" t="s">
        <v>205</v>
      </c>
      <c r="H453" s="2">
        <v>56812.5</v>
      </c>
      <c r="I453" s="7">
        <v>1</v>
      </c>
      <c r="J453" s="7">
        <v>1</v>
      </c>
      <c r="K453" s="7">
        <v>3</v>
      </c>
      <c r="L453" s="7">
        <v>3</v>
      </c>
      <c r="M453" s="7">
        <v>2</v>
      </c>
      <c r="N453" s="1">
        <f t="shared" si="46"/>
        <v>2</v>
      </c>
      <c r="O453" s="1" t="str">
        <f t="shared" si="49"/>
        <v>Meets Expectations</v>
      </c>
    </row>
    <row r="454" spans="1:15" x14ac:dyDescent="0.55000000000000004">
      <c r="A454" s="3">
        <v>1238911453</v>
      </c>
      <c r="B454" s="1" t="s">
        <v>14</v>
      </c>
      <c r="C454" s="6">
        <v>32901</v>
      </c>
      <c r="D454" s="6">
        <v>41599</v>
      </c>
      <c r="E454" s="6"/>
      <c r="F454" s="6"/>
      <c r="G454" s="1" t="s">
        <v>114</v>
      </c>
      <c r="H454" s="2">
        <v>85692.75</v>
      </c>
      <c r="I454" s="7">
        <v>1</v>
      </c>
      <c r="J454" s="7">
        <v>3</v>
      </c>
      <c r="K454" s="7">
        <v>1</v>
      </c>
      <c r="L454" s="7">
        <v>2</v>
      </c>
      <c r="M454" s="7">
        <v>1</v>
      </c>
      <c r="N454" s="1">
        <f t="shared" si="46"/>
        <v>2</v>
      </c>
      <c r="O454" s="1" t="str">
        <f t="shared" si="49"/>
        <v>Meets Expectations</v>
      </c>
    </row>
    <row r="455" spans="1:15" x14ac:dyDescent="0.55000000000000004">
      <c r="A455" s="3">
        <v>1238911454</v>
      </c>
      <c r="B455" s="1" t="s">
        <v>14</v>
      </c>
      <c r="C455" s="6">
        <v>32911</v>
      </c>
      <c r="D455" s="6">
        <v>41155</v>
      </c>
      <c r="E455" s="6">
        <v>45490</v>
      </c>
      <c r="F455" s="15" t="str">
        <f t="shared" ref="F455:F456" ca="1" si="50">IF(E455="",DATEDIF(D455,TODAY(),"y")&amp; "Years" &amp;DATEDIF(D455,TODAY(),"ym")&amp; "Months"&amp;DATEDIF(D455,TODAY(),"md") &amp;"Days",DATEDIF(D455,E455,"y")&amp; "Years" &amp;DATEDIF(D455,E455,"ym")&amp; "Months"&amp;DATEDIF(D455,E455,"md") &amp;"Days")</f>
        <v>11Years10Months14Days</v>
      </c>
      <c r="G455" s="1" t="s">
        <v>80</v>
      </c>
      <c r="H455" s="2">
        <v>44200</v>
      </c>
      <c r="I455" s="7">
        <v>1</v>
      </c>
      <c r="J455" s="7">
        <v>1</v>
      </c>
      <c r="K455" s="7">
        <v>3</v>
      </c>
      <c r="L455" s="7">
        <v>3</v>
      </c>
      <c r="M455" s="7">
        <v>1</v>
      </c>
      <c r="N455" s="1">
        <f t="shared" si="46"/>
        <v>2</v>
      </c>
      <c r="O455" s="1" t="str">
        <f t="shared" si="49"/>
        <v>Meets Expectations</v>
      </c>
    </row>
    <row r="456" spans="1:15" x14ac:dyDescent="0.55000000000000004">
      <c r="A456" s="3">
        <v>1238911455</v>
      </c>
      <c r="B456" s="1" t="s">
        <v>14</v>
      </c>
      <c r="C456" s="6">
        <v>32928</v>
      </c>
      <c r="D456" s="6">
        <v>42290</v>
      </c>
      <c r="E456" s="6"/>
      <c r="F456" s="15" t="str">
        <f t="shared" ca="1" si="50"/>
        <v>10Years7Months0Days</v>
      </c>
      <c r="G456" s="1" t="s">
        <v>13</v>
      </c>
      <c r="H456" s="2">
        <v>28600</v>
      </c>
      <c r="I456" s="7">
        <v>3</v>
      </c>
      <c r="J456" s="7">
        <v>2</v>
      </c>
      <c r="K456" s="7">
        <v>1</v>
      </c>
      <c r="L456" s="7">
        <v>3</v>
      </c>
      <c r="M456" s="7">
        <v>1</v>
      </c>
      <c r="N456" s="1">
        <f t="shared" ref="N456:N519" si="51">ROUND(AVERAGE(I456:M456),0)</f>
        <v>2</v>
      </c>
      <c r="O456" s="1" t="str">
        <f t="shared" si="49"/>
        <v>Meets Expectations</v>
      </c>
    </row>
    <row r="457" spans="1:15" x14ac:dyDescent="0.55000000000000004">
      <c r="A457" s="3">
        <v>1238911456</v>
      </c>
      <c r="B457" s="1" t="s">
        <v>12</v>
      </c>
      <c r="C457" s="6">
        <v>32932</v>
      </c>
      <c r="D457" s="6">
        <v>42235</v>
      </c>
      <c r="E457" s="6"/>
      <c r="F457" s="6"/>
      <c r="G457" s="1" t="s">
        <v>114</v>
      </c>
      <c r="H457" s="2">
        <v>70941</v>
      </c>
      <c r="I457" s="7">
        <v>3</v>
      </c>
      <c r="J457" s="7">
        <v>3</v>
      </c>
      <c r="K457" s="7">
        <v>1</v>
      </c>
      <c r="L457" s="7">
        <v>2</v>
      </c>
      <c r="M457" s="7">
        <v>2</v>
      </c>
      <c r="N457" s="1">
        <f t="shared" si="51"/>
        <v>2</v>
      </c>
      <c r="O457" s="1" t="str">
        <f t="shared" si="49"/>
        <v>Meets Expectations</v>
      </c>
    </row>
    <row r="458" spans="1:15" x14ac:dyDescent="0.55000000000000004">
      <c r="A458" s="3">
        <v>1238911457</v>
      </c>
      <c r="B458" s="1" t="s">
        <v>12</v>
      </c>
      <c r="C458" s="6">
        <v>32935</v>
      </c>
      <c r="D458" s="6">
        <v>43799</v>
      </c>
      <c r="E458" s="6"/>
      <c r="F458" s="6"/>
      <c r="G458" s="1" t="s">
        <v>44</v>
      </c>
      <c r="H458" s="2">
        <v>31200</v>
      </c>
      <c r="I458" s="7">
        <v>3</v>
      </c>
      <c r="J458" s="7">
        <v>1</v>
      </c>
      <c r="K458" s="7">
        <v>2</v>
      </c>
      <c r="L458" s="7">
        <v>3</v>
      </c>
      <c r="M458" s="7">
        <v>3</v>
      </c>
      <c r="N458" s="1">
        <f t="shared" si="51"/>
        <v>2</v>
      </c>
      <c r="O458" s="1" t="str">
        <f t="shared" si="49"/>
        <v>Meets Expectations</v>
      </c>
    </row>
    <row r="459" spans="1:15" x14ac:dyDescent="0.55000000000000004">
      <c r="A459" s="3">
        <v>1238911458</v>
      </c>
      <c r="B459" s="1" t="s">
        <v>12</v>
      </c>
      <c r="C459" s="6">
        <v>32944</v>
      </c>
      <c r="D459" s="6">
        <v>44583</v>
      </c>
      <c r="E459" s="6"/>
      <c r="F459" s="6"/>
      <c r="G459" s="1" t="s">
        <v>111</v>
      </c>
      <c r="H459" s="2">
        <v>26650</v>
      </c>
      <c r="I459" s="7">
        <v>3</v>
      </c>
      <c r="J459" s="7">
        <v>1</v>
      </c>
      <c r="K459" s="7">
        <v>2</v>
      </c>
      <c r="L459" s="7">
        <v>2</v>
      </c>
      <c r="M459" s="7">
        <v>1</v>
      </c>
      <c r="N459" s="1">
        <f t="shared" si="51"/>
        <v>2</v>
      </c>
      <c r="O459" s="1" t="str">
        <f t="shared" si="49"/>
        <v>Meets Expectations</v>
      </c>
    </row>
    <row r="460" spans="1:15" x14ac:dyDescent="0.55000000000000004">
      <c r="A460" s="3">
        <v>1238911459</v>
      </c>
      <c r="B460" s="1" t="s">
        <v>12</v>
      </c>
      <c r="C460" s="6">
        <v>32950</v>
      </c>
      <c r="D460" s="6">
        <v>41630</v>
      </c>
      <c r="E460" s="6"/>
      <c r="F460" s="6"/>
      <c r="G460" s="1" t="s">
        <v>206</v>
      </c>
      <c r="H460" s="2">
        <v>86710</v>
      </c>
      <c r="I460" s="7">
        <v>1</v>
      </c>
      <c r="J460" s="7">
        <v>1</v>
      </c>
      <c r="K460" s="7">
        <v>3</v>
      </c>
      <c r="L460" s="7">
        <v>2</v>
      </c>
      <c r="M460" s="7">
        <v>2</v>
      </c>
      <c r="N460" s="1">
        <f t="shared" si="51"/>
        <v>2</v>
      </c>
      <c r="O460" s="1" t="str">
        <f t="shared" si="49"/>
        <v>Meets Expectations</v>
      </c>
    </row>
    <row r="461" spans="1:15" x14ac:dyDescent="0.55000000000000004">
      <c r="A461" s="3">
        <v>1238911460</v>
      </c>
      <c r="B461" s="1" t="s">
        <v>14</v>
      </c>
      <c r="C461" s="6">
        <v>32967</v>
      </c>
      <c r="D461" s="6">
        <v>42638</v>
      </c>
      <c r="E461" s="6"/>
      <c r="F461" s="6"/>
      <c r="G461" s="1" t="s">
        <v>207</v>
      </c>
      <c r="H461" s="2">
        <v>76759.475000000006</v>
      </c>
      <c r="I461" s="7">
        <v>3</v>
      </c>
      <c r="J461" s="7">
        <v>2</v>
      </c>
      <c r="K461" s="7">
        <v>3</v>
      </c>
      <c r="L461" s="7">
        <v>3</v>
      </c>
      <c r="M461" s="7">
        <v>2</v>
      </c>
      <c r="N461" s="1">
        <f t="shared" si="51"/>
        <v>3</v>
      </c>
      <c r="O461" s="1" t="str">
        <f t="shared" si="49"/>
        <v>Exceeds Expectations</v>
      </c>
    </row>
    <row r="462" spans="1:15" x14ac:dyDescent="0.55000000000000004">
      <c r="A462" s="3">
        <v>1238911461</v>
      </c>
      <c r="B462" s="1" t="s">
        <v>14</v>
      </c>
      <c r="C462" s="6">
        <v>32967</v>
      </c>
      <c r="D462" s="6">
        <v>42638</v>
      </c>
      <c r="E462" s="6"/>
      <c r="F462" s="6"/>
      <c r="G462" s="1" t="s">
        <v>207</v>
      </c>
      <c r="H462" s="2">
        <v>76759.475000000006</v>
      </c>
      <c r="I462" s="7">
        <v>2</v>
      </c>
      <c r="J462" s="7">
        <v>3</v>
      </c>
      <c r="K462" s="7">
        <v>3</v>
      </c>
      <c r="L462" s="7">
        <v>3</v>
      </c>
      <c r="M462" s="7">
        <v>3</v>
      </c>
      <c r="N462" s="1">
        <f t="shared" si="51"/>
        <v>3</v>
      </c>
      <c r="O462" s="1" t="str">
        <f t="shared" si="49"/>
        <v>Exceeds Expectations</v>
      </c>
    </row>
    <row r="463" spans="1:15" x14ac:dyDescent="0.55000000000000004">
      <c r="A463" s="3">
        <v>1238911462</v>
      </c>
      <c r="B463" s="1" t="s">
        <v>12</v>
      </c>
      <c r="C463" s="6">
        <v>32971</v>
      </c>
      <c r="D463" s="6">
        <v>42469</v>
      </c>
      <c r="E463" s="6"/>
      <c r="F463" s="6"/>
      <c r="G463" s="1" t="s">
        <v>99</v>
      </c>
      <c r="H463" s="2">
        <v>144856.07500000001</v>
      </c>
      <c r="I463" s="7">
        <v>2</v>
      </c>
      <c r="J463" s="7">
        <v>2</v>
      </c>
      <c r="K463" s="7">
        <v>3</v>
      </c>
      <c r="L463" s="7">
        <v>2</v>
      </c>
      <c r="M463" s="7">
        <v>2</v>
      </c>
      <c r="N463" s="1">
        <f t="shared" si="51"/>
        <v>2</v>
      </c>
      <c r="O463" s="1" t="str">
        <f t="shared" si="49"/>
        <v>Meets Expectations</v>
      </c>
    </row>
    <row r="464" spans="1:15" x14ac:dyDescent="0.55000000000000004">
      <c r="A464" s="3">
        <v>1238911463</v>
      </c>
      <c r="B464" s="1" t="s">
        <v>12</v>
      </c>
      <c r="C464" s="6">
        <v>33103</v>
      </c>
      <c r="D464" s="6">
        <v>43479</v>
      </c>
      <c r="E464" s="6"/>
      <c r="F464" s="6"/>
      <c r="G464" s="1" t="s">
        <v>208</v>
      </c>
      <c r="H464" s="2">
        <v>86768.75</v>
      </c>
      <c r="I464" s="7">
        <v>3</v>
      </c>
      <c r="J464" s="7">
        <v>1</v>
      </c>
      <c r="K464" s="7">
        <v>2</v>
      </c>
      <c r="L464" s="7">
        <v>2</v>
      </c>
      <c r="M464" s="7">
        <v>2</v>
      </c>
      <c r="N464" s="1">
        <f t="shared" si="51"/>
        <v>2</v>
      </c>
      <c r="O464" s="1" t="str">
        <f t="shared" si="49"/>
        <v>Meets Expectations</v>
      </c>
    </row>
    <row r="465" spans="1:15" x14ac:dyDescent="0.55000000000000004">
      <c r="A465" s="3">
        <v>1238911464</v>
      </c>
      <c r="B465" s="1" t="s">
        <v>12</v>
      </c>
      <c r="C465" s="6">
        <v>33024</v>
      </c>
      <c r="D465" s="6">
        <v>41992</v>
      </c>
      <c r="E465" s="6"/>
      <c r="F465" s="6"/>
      <c r="G465" s="1" t="s">
        <v>59</v>
      </c>
      <c r="H465" s="2">
        <v>57200</v>
      </c>
      <c r="I465" s="7">
        <v>2</v>
      </c>
      <c r="J465" s="7">
        <v>3</v>
      </c>
      <c r="K465" s="7">
        <v>3</v>
      </c>
      <c r="L465" s="7">
        <v>2</v>
      </c>
      <c r="M465" s="7">
        <v>2</v>
      </c>
      <c r="N465" s="1">
        <f t="shared" si="51"/>
        <v>2</v>
      </c>
      <c r="O465" s="1" t="str">
        <f t="shared" si="49"/>
        <v>Meets Expectations</v>
      </c>
    </row>
    <row r="466" spans="1:15" x14ac:dyDescent="0.55000000000000004">
      <c r="A466" s="3">
        <v>1238911465</v>
      </c>
      <c r="B466" s="1" t="s">
        <v>12</v>
      </c>
      <c r="C466" s="6">
        <v>33018</v>
      </c>
      <c r="D466" s="6">
        <v>43426</v>
      </c>
      <c r="E466" s="6"/>
      <c r="F466" s="6"/>
      <c r="G466" s="1" t="s">
        <v>157</v>
      </c>
      <c r="H466" s="2">
        <v>91806</v>
      </c>
      <c r="I466" s="7">
        <v>1</v>
      </c>
      <c r="J466" s="7">
        <v>3</v>
      </c>
      <c r="K466" s="7">
        <v>1</v>
      </c>
      <c r="L466" s="7">
        <v>2</v>
      </c>
      <c r="M466" s="7">
        <v>1</v>
      </c>
      <c r="N466" s="1">
        <f t="shared" si="51"/>
        <v>2</v>
      </c>
      <c r="O466" s="1" t="str">
        <f t="shared" si="49"/>
        <v>Meets Expectations</v>
      </c>
    </row>
    <row r="467" spans="1:15" x14ac:dyDescent="0.55000000000000004">
      <c r="A467" s="3">
        <v>1238911466</v>
      </c>
      <c r="B467" s="1" t="s">
        <v>12</v>
      </c>
      <c r="C467" s="6">
        <v>32991</v>
      </c>
      <c r="D467" s="6">
        <v>41194</v>
      </c>
      <c r="E467" s="6">
        <v>44608</v>
      </c>
      <c r="F467" s="6"/>
      <c r="G467" s="1" t="s">
        <v>209</v>
      </c>
      <c r="H467" s="2">
        <v>102790.35</v>
      </c>
      <c r="I467" s="7">
        <v>2</v>
      </c>
      <c r="J467" s="7">
        <v>3</v>
      </c>
      <c r="K467" s="7">
        <v>2</v>
      </c>
      <c r="L467" s="7">
        <v>2</v>
      </c>
      <c r="M467" s="7">
        <v>2</v>
      </c>
      <c r="N467" s="1">
        <f t="shared" si="51"/>
        <v>2</v>
      </c>
      <c r="O467" s="1" t="str">
        <f t="shared" si="49"/>
        <v>Meets Expectations</v>
      </c>
    </row>
    <row r="468" spans="1:15" x14ac:dyDescent="0.55000000000000004">
      <c r="A468" s="3">
        <v>1238911467</v>
      </c>
      <c r="B468" s="1" t="s">
        <v>14</v>
      </c>
      <c r="C468" s="6">
        <v>33028</v>
      </c>
      <c r="D468" s="6">
        <v>44498</v>
      </c>
      <c r="E468" s="6">
        <v>45588</v>
      </c>
      <c r="F468" s="15" t="str">
        <f ca="1">IF(E468="",DATEDIF(D468,TODAY(),"y")&amp; "Years" &amp;DATEDIF(D468,TODAY(),"ym")&amp; "Months"&amp;DATEDIF(D468,TODAY(),"md") &amp;"Days",DATEDIF(D468,E468,"y")&amp; "Years" &amp;DATEDIF(D468,E468,"ym")&amp; "Months"&amp;DATEDIF(D468,E468,"md") &amp;"Days")</f>
        <v>2Years11Months24Days</v>
      </c>
      <c r="G468" s="1" t="s">
        <v>92</v>
      </c>
      <c r="H468" s="2">
        <v>28600</v>
      </c>
      <c r="I468" s="7">
        <v>2</v>
      </c>
      <c r="J468" s="7">
        <v>2</v>
      </c>
      <c r="K468" s="7">
        <v>3</v>
      </c>
      <c r="L468" s="7">
        <v>1</v>
      </c>
      <c r="M468" s="7">
        <v>1</v>
      </c>
      <c r="N468" s="1">
        <f t="shared" si="51"/>
        <v>2</v>
      </c>
      <c r="O468" s="1" t="str">
        <f t="shared" si="49"/>
        <v>Meets Expectations</v>
      </c>
    </row>
    <row r="469" spans="1:15" x14ac:dyDescent="0.55000000000000004">
      <c r="A469" s="3">
        <v>1238911468</v>
      </c>
      <c r="B469" s="1" t="s">
        <v>14</v>
      </c>
      <c r="C469" s="6">
        <v>33218</v>
      </c>
      <c r="D469" s="6">
        <v>41079</v>
      </c>
      <c r="E469" s="6"/>
      <c r="F469" s="6"/>
      <c r="G469" s="1" t="s">
        <v>210</v>
      </c>
      <c r="H469" s="2">
        <v>71993.675000000003</v>
      </c>
      <c r="I469" s="7">
        <v>2</v>
      </c>
      <c r="J469" s="7">
        <v>1</v>
      </c>
      <c r="K469" s="7">
        <v>1</v>
      </c>
      <c r="L469" s="7">
        <v>3</v>
      </c>
      <c r="M469" s="7">
        <v>3</v>
      </c>
      <c r="N469" s="1">
        <f t="shared" si="51"/>
        <v>2</v>
      </c>
      <c r="O469" s="1" t="str">
        <f t="shared" si="49"/>
        <v>Meets Expectations</v>
      </c>
    </row>
    <row r="470" spans="1:15" x14ac:dyDescent="0.55000000000000004">
      <c r="A470" s="3">
        <v>1238911469</v>
      </c>
      <c r="B470" s="1" t="s">
        <v>12</v>
      </c>
      <c r="C470" s="6">
        <v>33057</v>
      </c>
      <c r="D470" s="6">
        <v>45073</v>
      </c>
      <c r="E470" s="6"/>
      <c r="F470" s="6"/>
      <c r="G470" s="1" t="s">
        <v>43</v>
      </c>
      <c r="H470" s="2">
        <v>31200</v>
      </c>
      <c r="I470" s="7">
        <v>1</v>
      </c>
      <c r="J470" s="7">
        <v>3</v>
      </c>
      <c r="K470" s="7">
        <v>1</v>
      </c>
      <c r="L470" s="7">
        <v>1</v>
      </c>
      <c r="M470" s="7">
        <v>3</v>
      </c>
      <c r="N470" s="1">
        <f t="shared" si="51"/>
        <v>2</v>
      </c>
      <c r="O470" s="1" t="str">
        <f t="shared" si="49"/>
        <v>Meets Expectations</v>
      </c>
    </row>
    <row r="471" spans="1:15" x14ac:dyDescent="0.55000000000000004">
      <c r="A471" s="3">
        <v>1238911470</v>
      </c>
      <c r="B471" s="1" t="s">
        <v>12</v>
      </c>
      <c r="C471" s="6">
        <v>33162</v>
      </c>
      <c r="D471" s="6">
        <v>44563</v>
      </c>
      <c r="E471" s="6"/>
      <c r="F471" s="6"/>
      <c r="G471" s="1" t="s">
        <v>74</v>
      </c>
      <c r="H471" s="2">
        <v>47502.5</v>
      </c>
      <c r="I471" s="7">
        <v>1</v>
      </c>
      <c r="J471" s="7">
        <v>2</v>
      </c>
      <c r="K471" s="7">
        <v>2</v>
      </c>
      <c r="L471" s="7">
        <v>1</v>
      </c>
      <c r="M471" s="7">
        <v>2</v>
      </c>
      <c r="N471" s="1">
        <f t="shared" si="51"/>
        <v>2</v>
      </c>
      <c r="O471" s="1" t="str">
        <f t="shared" si="49"/>
        <v>Meets Expectations</v>
      </c>
    </row>
    <row r="472" spans="1:15" x14ac:dyDescent="0.55000000000000004">
      <c r="A472" s="3">
        <v>1238911471</v>
      </c>
      <c r="B472" s="1" t="s">
        <v>12</v>
      </c>
      <c r="C472" s="6">
        <v>33077</v>
      </c>
      <c r="D472" s="6">
        <v>43305</v>
      </c>
      <c r="E472" s="6">
        <v>45889</v>
      </c>
      <c r="F472" s="6"/>
      <c r="G472" s="1" t="s">
        <v>74</v>
      </c>
      <c r="H472" s="2">
        <v>49997.5</v>
      </c>
      <c r="I472" s="7">
        <v>2</v>
      </c>
      <c r="J472" s="7">
        <v>1</v>
      </c>
      <c r="K472" s="7">
        <v>1</v>
      </c>
      <c r="L472" s="7">
        <v>2</v>
      </c>
      <c r="M472" s="7">
        <v>2</v>
      </c>
      <c r="N472" s="1">
        <f t="shared" si="51"/>
        <v>2</v>
      </c>
      <c r="O472" s="1" t="str">
        <f t="shared" si="49"/>
        <v>Meets Expectations</v>
      </c>
    </row>
    <row r="473" spans="1:15" x14ac:dyDescent="0.55000000000000004">
      <c r="A473" s="3">
        <v>1238911472</v>
      </c>
      <c r="B473" s="1" t="s">
        <v>12</v>
      </c>
      <c r="C473" s="6">
        <v>33127</v>
      </c>
      <c r="D473" s="6">
        <v>42297</v>
      </c>
      <c r="E473" s="6"/>
      <c r="F473" s="6"/>
      <c r="G473" s="1" t="s">
        <v>85</v>
      </c>
      <c r="H473" s="2">
        <v>75114</v>
      </c>
      <c r="I473" s="7">
        <v>3</v>
      </c>
      <c r="J473" s="7">
        <v>3</v>
      </c>
      <c r="K473" s="7">
        <v>3</v>
      </c>
      <c r="L473" s="7">
        <v>3</v>
      </c>
      <c r="M473" s="7">
        <v>2</v>
      </c>
      <c r="N473" s="1">
        <f t="shared" si="51"/>
        <v>3</v>
      </c>
      <c r="O473" s="1" t="str">
        <f t="shared" si="49"/>
        <v>Exceeds Expectations</v>
      </c>
    </row>
    <row r="474" spans="1:15" x14ac:dyDescent="0.55000000000000004">
      <c r="A474" s="3">
        <v>1238911473</v>
      </c>
      <c r="B474" s="1" t="s">
        <v>14</v>
      </c>
      <c r="C474" s="6">
        <v>33002</v>
      </c>
      <c r="D474" s="6">
        <v>45000</v>
      </c>
      <c r="E474" s="6"/>
      <c r="F474" s="6"/>
      <c r="G474" s="1" t="s">
        <v>211</v>
      </c>
      <c r="H474" s="2">
        <v>110000.15</v>
      </c>
      <c r="I474" s="7">
        <v>2</v>
      </c>
      <c r="J474" s="7">
        <v>3</v>
      </c>
      <c r="K474" s="7">
        <v>3</v>
      </c>
      <c r="L474" s="7">
        <v>3</v>
      </c>
      <c r="M474" s="7">
        <v>2</v>
      </c>
      <c r="N474" s="1">
        <f t="shared" si="51"/>
        <v>3</v>
      </c>
      <c r="O474" s="1" t="str">
        <f t="shared" si="49"/>
        <v>Exceeds Expectations</v>
      </c>
    </row>
    <row r="475" spans="1:15" x14ac:dyDescent="0.55000000000000004">
      <c r="A475" s="3">
        <v>1238911474</v>
      </c>
      <c r="B475" s="1" t="s">
        <v>14</v>
      </c>
      <c r="C475" s="6">
        <v>33158</v>
      </c>
      <c r="D475" s="6">
        <v>41925</v>
      </c>
      <c r="E475" s="6">
        <v>44401</v>
      </c>
      <c r="F475" s="6"/>
      <c r="G475" s="1" t="s">
        <v>212</v>
      </c>
      <c r="H475" s="2">
        <v>86872.175000000003</v>
      </c>
      <c r="I475" s="7">
        <v>2</v>
      </c>
      <c r="J475" s="7">
        <v>2</v>
      </c>
      <c r="K475" s="7">
        <v>1</v>
      </c>
      <c r="L475" s="7">
        <v>3</v>
      </c>
      <c r="M475" s="7">
        <v>3</v>
      </c>
      <c r="N475" s="1">
        <f t="shared" si="51"/>
        <v>2</v>
      </c>
      <c r="O475" s="1" t="str">
        <f t="shared" si="49"/>
        <v>Meets Expectations</v>
      </c>
    </row>
    <row r="476" spans="1:15" x14ac:dyDescent="0.55000000000000004">
      <c r="A476" s="3">
        <v>1238911475</v>
      </c>
      <c r="B476" s="1" t="s">
        <v>12</v>
      </c>
      <c r="C476" s="6">
        <v>33038</v>
      </c>
      <c r="D476" s="6">
        <v>42748</v>
      </c>
      <c r="E476" s="6">
        <v>43342</v>
      </c>
      <c r="F476" s="6"/>
      <c r="G476" s="1" t="s">
        <v>213</v>
      </c>
      <c r="H476" s="2">
        <v>97422</v>
      </c>
      <c r="I476" s="7">
        <v>2</v>
      </c>
      <c r="J476" s="7">
        <v>3</v>
      </c>
      <c r="K476" s="7">
        <v>1</v>
      </c>
      <c r="L476" s="7">
        <v>3</v>
      </c>
      <c r="M476" s="7">
        <v>1</v>
      </c>
      <c r="N476" s="1">
        <f t="shared" si="51"/>
        <v>2</v>
      </c>
      <c r="O476" s="1" t="str">
        <f t="shared" si="49"/>
        <v>Meets Expectations</v>
      </c>
    </row>
    <row r="477" spans="1:15" x14ac:dyDescent="0.55000000000000004">
      <c r="A477" s="3">
        <v>1238911476</v>
      </c>
      <c r="B477" s="1" t="s">
        <v>12</v>
      </c>
      <c r="C477" s="6">
        <v>32919</v>
      </c>
      <c r="D477" s="6">
        <v>44967</v>
      </c>
      <c r="E477" s="6"/>
      <c r="F477" s="6"/>
      <c r="G477" s="1" t="s">
        <v>214</v>
      </c>
      <c r="H477" s="2">
        <v>81000</v>
      </c>
      <c r="I477" s="7">
        <v>1</v>
      </c>
      <c r="J477" s="7">
        <v>2</v>
      </c>
      <c r="K477" s="7">
        <v>2</v>
      </c>
      <c r="L477" s="7">
        <v>3</v>
      </c>
      <c r="M477" s="7">
        <v>2</v>
      </c>
      <c r="N477" s="1">
        <f t="shared" si="51"/>
        <v>2</v>
      </c>
      <c r="O477" s="1" t="str">
        <f t="shared" si="49"/>
        <v>Meets Expectations</v>
      </c>
    </row>
    <row r="478" spans="1:15" x14ac:dyDescent="0.55000000000000004">
      <c r="A478" s="3">
        <v>1238911477</v>
      </c>
      <c r="B478" s="1" t="s">
        <v>14</v>
      </c>
      <c r="C478" s="6">
        <v>33164</v>
      </c>
      <c r="D478" s="6">
        <v>44657</v>
      </c>
      <c r="E478" s="6"/>
      <c r="F478" s="6"/>
      <c r="G478" s="1" t="s">
        <v>215</v>
      </c>
      <c r="H478" s="2">
        <v>81394.625</v>
      </c>
      <c r="I478" s="7">
        <v>3</v>
      </c>
      <c r="J478" s="7">
        <v>3</v>
      </c>
      <c r="K478" s="7">
        <v>1</v>
      </c>
      <c r="L478" s="7">
        <v>2</v>
      </c>
      <c r="M478" s="7">
        <v>1</v>
      </c>
      <c r="N478" s="1">
        <f t="shared" si="51"/>
        <v>2</v>
      </c>
      <c r="O478" s="1" t="str">
        <f t="shared" si="49"/>
        <v>Meets Expectations</v>
      </c>
    </row>
    <row r="479" spans="1:15" x14ac:dyDescent="0.55000000000000004">
      <c r="A479" s="3">
        <v>1238911478</v>
      </c>
      <c r="B479" s="1" t="s">
        <v>12</v>
      </c>
      <c r="C479" s="6">
        <v>33054</v>
      </c>
      <c r="D479" s="6">
        <v>44867</v>
      </c>
      <c r="E479" s="6"/>
      <c r="F479" s="6"/>
      <c r="G479" s="1" t="s">
        <v>216</v>
      </c>
      <c r="H479" s="2">
        <v>81250</v>
      </c>
      <c r="I479" s="7">
        <v>1</v>
      </c>
      <c r="J479" s="7">
        <v>3</v>
      </c>
      <c r="K479" s="7">
        <v>1</v>
      </c>
      <c r="L479" s="7">
        <v>3</v>
      </c>
      <c r="M479" s="7">
        <v>1</v>
      </c>
      <c r="N479" s="1">
        <f t="shared" si="51"/>
        <v>2</v>
      </c>
      <c r="O479" s="1" t="str">
        <f t="shared" si="49"/>
        <v>Meets Expectations</v>
      </c>
    </row>
    <row r="480" spans="1:15" x14ac:dyDescent="0.55000000000000004">
      <c r="A480" s="3">
        <v>1238911479</v>
      </c>
      <c r="B480" s="1" t="s">
        <v>12</v>
      </c>
      <c r="C480" s="6">
        <v>33186</v>
      </c>
      <c r="D480" s="6">
        <v>45035</v>
      </c>
      <c r="E480" s="6">
        <v>45057</v>
      </c>
      <c r="F480" s="6"/>
      <c r="G480" s="1" t="s">
        <v>134</v>
      </c>
      <c r="H480" s="2">
        <v>70583.75</v>
      </c>
      <c r="I480" s="7">
        <v>1</v>
      </c>
      <c r="J480" s="7">
        <v>2</v>
      </c>
      <c r="K480" s="7">
        <v>2</v>
      </c>
      <c r="L480" s="7">
        <v>3</v>
      </c>
      <c r="M480" s="7">
        <v>2</v>
      </c>
      <c r="N480" s="1">
        <f t="shared" si="51"/>
        <v>2</v>
      </c>
      <c r="O480" s="1" t="str">
        <f t="shared" si="49"/>
        <v>Meets Expectations</v>
      </c>
    </row>
    <row r="481" spans="1:15" x14ac:dyDescent="0.55000000000000004">
      <c r="A481" s="3">
        <v>1238911480</v>
      </c>
      <c r="B481" s="1" t="s">
        <v>12</v>
      </c>
      <c r="C481" s="6">
        <v>33084</v>
      </c>
      <c r="D481" s="6">
        <v>45035</v>
      </c>
      <c r="E481" s="6"/>
      <c r="F481" s="6"/>
      <c r="G481" s="1" t="s">
        <v>134</v>
      </c>
      <c r="H481" s="2">
        <v>70583.75</v>
      </c>
      <c r="I481" s="7">
        <v>2</v>
      </c>
      <c r="J481" s="7">
        <v>1</v>
      </c>
      <c r="K481" s="7">
        <v>3</v>
      </c>
      <c r="L481" s="7">
        <v>1</v>
      </c>
      <c r="M481" s="7">
        <v>1</v>
      </c>
      <c r="N481" s="1">
        <f t="shared" si="51"/>
        <v>2</v>
      </c>
      <c r="O481" s="1" t="str">
        <f t="shared" si="49"/>
        <v>Meets Expectations</v>
      </c>
    </row>
    <row r="482" spans="1:15" x14ac:dyDescent="0.55000000000000004">
      <c r="A482" s="3">
        <v>1238911481</v>
      </c>
      <c r="B482" s="1" t="s">
        <v>12</v>
      </c>
      <c r="C482" s="6">
        <v>33187</v>
      </c>
      <c r="D482" s="6">
        <v>41237</v>
      </c>
      <c r="E482" s="6"/>
      <c r="F482" s="6"/>
      <c r="G482" s="1" t="s">
        <v>217</v>
      </c>
      <c r="H482" s="2">
        <v>141625</v>
      </c>
      <c r="I482" s="7">
        <v>2</v>
      </c>
      <c r="J482" s="7">
        <v>2</v>
      </c>
      <c r="K482" s="7">
        <v>3</v>
      </c>
      <c r="L482" s="7">
        <v>3</v>
      </c>
      <c r="M482" s="7">
        <v>2</v>
      </c>
      <c r="N482" s="1">
        <f t="shared" si="51"/>
        <v>2</v>
      </c>
      <c r="O482" s="1" t="str">
        <f t="shared" si="49"/>
        <v>Meets Expectations</v>
      </c>
    </row>
    <row r="483" spans="1:15" x14ac:dyDescent="0.55000000000000004">
      <c r="A483" s="3">
        <v>1238911482</v>
      </c>
      <c r="B483" s="1" t="s">
        <v>12</v>
      </c>
      <c r="C483" s="6">
        <v>33216</v>
      </c>
      <c r="D483" s="6">
        <v>43147</v>
      </c>
      <c r="E483" s="6"/>
      <c r="F483" s="6"/>
      <c r="G483" s="1" t="s">
        <v>157</v>
      </c>
      <c r="H483" s="2">
        <v>99127.5</v>
      </c>
      <c r="I483" s="7">
        <v>1</v>
      </c>
      <c r="J483" s="7">
        <v>2</v>
      </c>
      <c r="K483" s="7">
        <v>2</v>
      </c>
      <c r="L483" s="7">
        <v>1</v>
      </c>
      <c r="M483" s="7">
        <v>1</v>
      </c>
      <c r="N483" s="1">
        <f t="shared" si="51"/>
        <v>1</v>
      </c>
      <c r="O483" s="1" t="str">
        <f t="shared" si="49"/>
        <v>Below Expectations</v>
      </c>
    </row>
    <row r="484" spans="1:15" x14ac:dyDescent="0.55000000000000004">
      <c r="A484" s="3">
        <v>1238911483</v>
      </c>
      <c r="B484" s="1" t="s">
        <v>14</v>
      </c>
      <c r="C484" s="6">
        <v>33224</v>
      </c>
      <c r="D484" s="6">
        <v>43183</v>
      </c>
      <c r="E484" s="6"/>
      <c r="F484" s="6"/>
      <c r="G484" s="1" t="s">
        <v>48</v>
      </c>
      <c r="H484" s="2">
        <v>52500</v>
      </c>
      <c r="I484" s="7">
        <v>3</v>
      </c>
      <c r="J484" s="7">
        <v>3</v>
      </c>
      <c r="K484" s="7">
        <v>3</v>
      </c>
      <c r="L484" s="7">
        <v>3</v>
      </c>
      <c r="M484" s="7">
        <v>1</v>
      </c>
      <c r="N484" s="1">
        <f t="shared" si="51"/>
        <v>3</v>
      </c>
      <c r="O484" s="1" t="str">
        <f t="shared" si="49"/>
        <v>Exceeds Expectations</v>
      </c>
    </row>
    <row r="485" spans="1:15" x14ac:dyDescent="0.55000000000000004">
      <c r="A485" s="3">
        <v>1238911484</v>
      </c>
      <c r="B485" s="1" t="s">
        <v>14</v>
      </c>
      <c r="C485" s="6">
        <v>33023</v>
      </c>
      <c r="D485" s="6">
        <v>45055</v>
      </c>
      <c r="E485" s="6"/>
      <c r="F485" s="6"/>
      <c r="G485" s="1" t="s">
        <v>48</v>
      </c>
      <c r="H485" s="2">
        <v>52500</v>
      </c>
      <c r="I485" s="7">
        <v>2</v>
      </c>
      <c r="J485" s="7">
        <v>1</v>
      </c>
      <c r="K485" s="7">
        <v>1</v>
      </c>
      <c r="L485" s="7">
        <v>2</v>
      </c>
      <c r="M485" s="7">
        <v>2</v>
      </c>
      <c r="N485" s="1">
        <f t="shared" si="51"/>
        <v>2</v>
      </c>
      <c r="O485" s="1" t="str">
        <f t="shared" si="49"/>
        <v>Meets Expectations</v>
      </c>
    </row>
    <row r="486" spans="1:15" x14ac:dyDescent="0.55000000000000004">
      <c r="A486" s="3">
        <v>1238911485</v>
      </c>
      <c r="B486" s="1" t="s">
        <v>12</v>
      </c>
      <c r="C486" s="6">
        <v>33237</v>
      </c>
      <c r="D486" s="6">
        <v>42638</v>
      </c>
      <c r="E486" s="6">
        <v>45483</v>
      </c>
      <c r="F486" s="6"/>
      <c r="G486" s="1" t="s">
        <v>218</v>
      </c>
      <c r="H486" s="2">
        <v>62946</v>
      </c>
      <c r="I486" s="7">
        <v>3</v>
      </c>
      <c r="J486" s="7">
        <v>1</v>
      </c>
      <c r="K486" s="7">
        <v>1</v>
      </c>
      <c r="L486" s="7">
        <v>1</v>
      </c>
      <c r="M486" s="7">
        <v>2</v>
      </c>
      <c r="N486" s="1">
        <f t="shared" si="51"/>
        <v>2</v>
      </c>
      <c r="O486" s="1" t="str">
        <f t="shared" si="49"/>
        <v>Meets Expectations</v>
      </c>
    </row>
    <row r="487" spans="1:15" x14ac:dyDescent="0.55000000000000004">
      <c r="A487" s="3">
        <v>1238911486</v>
      </c>
      <c r="B487" s="1" t="s">
        <v>12</v>
      </c>
      <c r="C487" s="6">
        <v>33255</v>
      </c>
      <c r="D487" s="6">
        <v>44715</v>
      </c>
      <c r="E487" s="6"/>
      <c r="F487" s="6"/>
      <c r="G487" s="1" t="s">
        <v>219</v>
      </c>
      <c r="H487" s="2">
        <v>83459.974999999991</v>
      </c>
      <c r="I487" s="7">
        <v>2</v>
      </c>
      <c r="J487" s="7">
        <v>2</v>
      </c>
      <c r="K487" s="7">
        <v>1</v>
      </c>
      <c r="L487" s="7">
        <v>1</v>
      </c>
      <c r="M487" s="7">
        <v>3</v>
      </c>
      <c r="N487" s="1">
        <f t="shared" si="51"/>
        <v>2</v>
      </c>
      <c r="O487" s="1" t="str">
        <f t="shared" si="49"/>
        <v>Meets Expectations</v>
      </c>
    </row>
    <row r="488" spans="1:15" x14ac:dyDescent="0.55000000000000004">
      <c r="A488" s="3">
        <v>1238911487</v>
      </c>
      <c r="B488" s="1" t="s">
        <v>12</v>
      </c>
      <c r="C488" s="6">
        <v>33264</v>
      </c>
      <c r="D488" s="6">
        <v>43581</v>
      </c>
      <c r="E488" s="6"/>
      <c r="F488" s="6"/>
      <c r="G488" s="1" t="s">
        <v>63</v>
      </c>
      <c r="H488" s="2">
        <v>91800.15</v>
      </c>
      <c r="I488" s="7">
        <v>3</v>
      </c>
      <c r="J488" s="7">
        <v>1</v>
      </c>
      <c r="K488" s="7">
        <v>3</v>
      </c>
      <c r="L488" s="7">
        <v>3</v>
      </c>
      <c r="M488" s="7">
        <v>1</v>
      </c>
      <c r="N488" s="1">
        <f t="shared" si="51"/>
        <v>2</v>
      </c>
      <c r="O488" s="1" t="str">
        <f t="shared" si="49"/>
        <v>Meets Expectations</v>
      </c>
    </row>
    <row r="489" spans="1:15" x14ac:dyDescent="0.55000000000000004">
      <c r="A489" s="3">
        <v>1238911488</v>
      </c>
      <c r="B489" s="1" t="s">
        <v>14</v>
      </c>
      <c r="C489" s="6">
        <v>33270</v>
      </c>
      <c r="D489" s="6">
        <v>42715</v>
      </c>
      <c r="E489" s="6">
        <v>44821</v>
      </c>
      <c r="F489" s="6"/>
      <c r="G489" s="1" t="s">
        <v>220</v>
      </c>
      <c r="H489" s="2">
        <v>78000</v>
      </c>
      <c r="I489" s="7">
        <v>3</v>
      </c>
      <c r="J489" s="7">
        <v>2</v>
      </c>
      <c r="K489" s="7">
        <v>1</v>
      </c>
      <c r="L489" s="7">
        <v>2</v>
      </c>
      <c r="M489" s="7">
        <v>2</v>
      </c>
      <c r="N489" s="1">
        <f t="shared" si="51"/>
        <v>2</v>
      </c>
      <c r="O489" s="1" t="str">
        <f t="shared" si="49"/>
        <v>Meets Expectations</v>
      </c>
    </row>
    <row r="490" spans="1:15" x14ac:dyDescent="0.55000000000000004">
      <c r="A490" s="3">
        <v>1238911489</v>
      </c>
      <c r="B490" s="1" t="s">
        <v>14</v>
      </c>
      <c r="C490" s="6">
        <v>33370</v>
      </c>
      <c r="D490" s="6">
        <v>42198</v>
      </c>
      <c r="E490" s="6"/>
      <c r="F490" s="15" t="str">
        <f ca="1">IF(E490="",DATEDIF(D490,TODAY(),"y")&amp; "Years" &amp;DATEDIF(D490,TODAY(),"ym")&amp; "Months"&amp;DATEDIF(D490,TODAY(),"md") &amp;"Days",DATEDIF(D490,E490,"y")&amp; "Years" &amp;DATEDIF(D490,E490,"ym")&amp; "Months"&amp;DATEDIF(D490,E490,"md") &amp;"Days")</f>
        <v>10Years10Months0Days</v>
      </c>
      <c r="G490" s="1" t="s">
        <v>13</v>
      </c>
      <c r="H490" s="2">
        <v>31200</v>
      </c>
      <c r="I490" s="7">
        <v>3</v>
      </c>
      <c r="J490" s="7">
        <v>1</v>
      </c>
      <c r="K490" s="7">
        <v>1</v>
      </c>
      <c r="L490" s="7">
        <v>1</v>
      </c>
      <c r="M490" s="7">
        <v>2</v>
      </c>
      <c r="N490" s="1">
        <f t="shared" si="51"/>
        <v>2</v>
      </c>
      <c r="O490" s="1" t="str">
        <f t="shared" si="49"/>
        <v>Meets Expectations</v>
      </c>
    </row>
    <row r="491" spans="1:15" x14ac:dyDescent="0.55000000000000004">
      <c r="A491" s="3">
        <v>1238911490</v>
      </c>
      <c r="B491" s="1" t="s">
        <v>12</v>
      </c>
      <c r="C491" s="6">
        <v>33272</v>
      </c>
      <c r="D491" s="6">
        <v>44045</v>
      </c>
      <c r="E491" s="6"/>
      <c r="F491" s="6"/>
      <c r="G491" s="1" t="s">
        <v>136</v>
      </c>
      <c r="H491" s="2">
        <v>79534</v>
      </c>
      <c r="I491" s="7">
        <v>2</v>
      </c>
      <c r="J491" s="7">
        <v>3</v>
      </c>
      <c r="K491" s="7">
        <v>2</v>
      </c>
      <c r="L491" s="7">
        <v>2</v>
      </c>
      <c r="M491" s="7">
        <v>1</v>
      </c>
      <c r="N491" s="1">
        <f t="shared" si="51"/>
        <v>2</v>
      </c>
      <c r="O491" s="1" t="str">
        <f t="shared" si="49"/>
        <v>Meets Expectations</v>
      </c>
    </row>
    <row r="492" spans="1:15" x14ac:dyDescent="0.55000000000000004">
      <c r="A492" s="3">
        <v>1238911491</v>
      </c>
      <c r="B492" s="1" t="s">
        <v>12</v>
      </c>
      <c r="C492" s="6">
        <v>33312</v>
      </c>
      <c r="D492" s="6">
        <v>43243</v>
      </c>
      <c r="E492" s="6"/>
      <c r="F492" s="6"/>
      <c r="G492" s="1" t="s">
        <v>221</v>
      </c>
      <c r="H492" s="2">
        <v>118978.6</v>
      </c>
      <c r="I492" s="7">
        <v>3</v>
      </c>
      <c r="J492" s="7">
        <v>2</v>
      </c>
      <c r="K492" s="7">
        <v>2</v>
      </c>
      <c r="L492" s="7">
        <v>2</v>
      </c>
      <c r="M492" s="7">
        <v>2</v>
      </c>
      <c r="N492" s="1">
        <f t="shared" si="51"/>
        <v>2</v>
      </c>
      <c r="O492" s="1" t="str">
        <f t="shared" si="49"/>
        <v>Meets Expectations</v>
      </c>
    </row>
    <row r="493" spans="1:15" x14ac:dyDescent="0.55000000000000004">
      <c r="A493" s="3">
        <v>1238911492</v>
      </c>
      <c r="B493" s="1" t="s">
        <v>14</v>
      </c>
      <c r="C493" s="6">
        <v>33315</v>
      </c>
      <c r="D493" s="6">
        <v>43780</v>
      </c>
      <c r="E493" s="6"/>
      <c r="F493" s="15" t="str">
        <f ca="1">IF(E493="",DATEDIF(D493,TODAY(),"y")&amp; "Years" &amp;DATEDIF(D493,TODAY(),"ym")&amp; "Months"&amp;DATEDIF(D493,TODAY(),"md") &amp;"Days",DATEDIF(D493,E493,"y")&amp; "Years" &amp;DATEDIF(D493,E493,"ym")&amp; "Months"&amp;DATEDIF(D493,E493,"md") &amp;"Days")</f>
        <v>6Years6Months2Days</v>
      </c>
      <c r="G493" s="1" t="s">
        <v>44</v>
      </c>
      <c r="H493" s="2">
        <v>28600</v>
      </c>
      <c r="I493" s="7">
        <v>2</v>
      </c>
      <c r="J493" s="7">
        <v>2</v>
      </c>
      <c r="K493" s="7">
        <v>2</v>
      </c>
      <c r="L493" s="7">
        <v>1</v>
      </c>
      <c r="M493" s="7">
        <v>1</v>
      </c>
      <c r="N493" s="1">
        <f t="shared" si="51"/>
        <v>2</v>
      </c>
      <c r="O493" s="1" t="str">
        <f t="shared" si="49"/>
        <v>Meets Expectations</v>
      </c>
    </row>
    <row r="494" spans="1:15" x14ac:dyDescent="0.55000000000000004">
      <c r="A494" s="3">
        <v>1238911493</v>
      </c>
      <c r="B494" s="1" t="s">
        <v>12</v>
      </c>
      <c r="C494" s="6">
        <v>33326</v>
      </c>
      <c r="D494" s="6">
        <v>41844</v>
      </c>
      <c r="E494" s="6">
        <v>42162</v>
      </c>
      <c r="F494" s="6"/>
      <c r="G494" s="1" t="s">
        <v>222</v>
      </c>
      <c r="H494" s="2">
        <v>58494.475000000006</v>
      </c>
      <c r="I494" s="7">
        <v>3</v>
      </c>
      <c r="J494" s="7">
        <v>1</v>
      </c>
      <c r="K494" s="7">
        <v>2</v>
      </c>
      <c r="L494" s="7">
        <v>3</v>
      </c>
      <c r="M494" s="7">
        <v>1</v>
      </c>
      <c r="N494" s="1">
        <f t="shared" si="51"/>
        <v>2</v>
      </c>
      <c r="O494" s="1" t="str">
        <f t="shared" si="49"/>
        <v>Meets Expectations</v>
      </c>
    </row>
    <row r="495" spans="1:15" x14ac:dyDescent="0.55000000000000004">
      <c r="A495" s="3">
        <v>1238911494</v>
      </c>
      <c r="B495" s="1" t="s">
        <v>14</v>
      </c>
      <c r="C495" s="6">
        <v>33330</v>
      </c>
      <c r="D495" s="6">
        <v>44807</v>
      </c>
      <c r="E495" s="6">
        <v>45776</v>
      </c>
      <c r="F495" s="6"/>
      <c r="G495" s="1" t="s">
        <v>157</v>
      </c>
      <c r="H495" s="2">
        <v>89963.75</v>
      </c>
      <c r="I495" s="7">
        <v>1</v>
      </c>
      <c r="J495" s="7">
        <v>3</v>
      </c>
      <c r="K495" s="7">
        <v>2</v>
      </c>
      <c r="L495" s="7">
        <v>2</v>
      </c>
      <c r="M495" s="7">
        <v>2</v>
      </c>
      <c r="N495" s="1">
        <f t="shared" si="51"/>
        <v>2</v>
      </c>
      <c r="O495" s="1" t="str">
        <f t="shared" si="49"/>
        <v>Meets Expectations</v>
      </c>
    </row>
    <row r="496" spans="1:15" x14ac:dyDescent="0.55000000000000004">
      <c r="A496" s="3">
        <v>1238911495</v>
      </c>
      <c r="B496" s="1" t="s">
        <v>12</v>
      </c>
      <c r="C496" s="6">
        <v>33344</v>
      </c>
      <c r="D496" s="6">
        <v>41400</v>
      </c>
      <c r="E496" s="6"/>
      <c r="F496" s="6"/>
      <c r="G496" s="1" t="s">
        <v>129</v>
      </c>
      <c r="H496" s="2">
        <v>135995.27499999999</v>
      </c>
      <c r="I496" s="7">
        <v>2</v>
      </c>
      <c r="J496" s="7">
        <v>2</v>
      </c>
      <c r="K496" s="7">
        <v>3</v>
      </c>
      <c r="L496" s="7">
        <v>2</v>
      </c>
      <c r="M496" s="7">
        <v>2</v>
      </c>
      <c r="N496" s="1">
        <f t="shared" si="51"/>
        <v>2</v>
      </c>
      <c r="O496" s="1" t="str">
        <f t="shared" si="49"/>
        <v>Meets Expectations</v>
      </c>
    </row>
    <row r="497" spans="1:15" x14ac:dyDescent="0.55000000000000004">
      <c r="A497" s="3">
        <v>1238911496</v>
      </c>
      <c r="B497" s="1" t="s">
        <v>12</v>
      </c>
      <c r="C497" s="6">
        <v>33366</v>
      </c>
      <c r="D497" s="6">
        <v>43720</v>
      </c>
      <c r="E497" s="6"/>
      <c r="F497" s="6"/>
      <c r="G497" s="1" t="s">
        <v>223</v>
      </c>
      <c r="H497" s="2">
        <v>87974.9</v>
      </c>
      <c r="I497" s="7">
        <v>1</v>
      </c>
      <c r="J497" s="7">
        <v>2</v>
      </c>
      <c r="K497" s="7">
        <v>2</v>
      </c>
      <c r="L497" s="7">
        <v>3</v>
      </c>
      <c r="M497" s="7">
        <v>2</v>
      </c>
      <c r="N497" s="1">
        <f t="shared" si="51"/>
        <v>2</v>
      </c>
      <c r="O497" s="1" t="str">
        <f t="shared" si="49"/>
        <v>Meets Expectations</v>
      </c>
    </row>
    <row r="498" spans="1:15" x14ac:dyDescent="0.55000000000000004">
      <c r="A498" s="3">
        <v>1238911497</v>
      </c>
      <c r="B498" s="1" t="s">
        <v>14</v>
      </c>
      <c r="C498" s="6">
        <v>33571</v>
      </c>
      <c r="D498" s="6">
        <v>41835</v>
      </c>
      <c r="E498" s="6">
        <v>44587</v>
      </c>
      <c r="F498" s="6"/>
      <c r="G498" s="1" t="s">
        <v>68</v>
      </c>
      <c r="H498" s="2">
        <v>64142</v>
      </c>
      <c r="I498" s="7">
        <v>1</v>
      </c>
      <c r="J498" s="7">
        <v>1</v>
      </c>
      <c r="K498" s="7">
        <v>2</v>
      </c>
      <c r="L498" s="7">
        <v>1</v>
      </c>
      <c r="M498" s="7">
        <v>2</v>
      </c>
      <c r="N498" s="1">
        <f t="shared" si="51"/>
        <v>1</v>
      </c>
      <c r="O498" s="1" t="str">
        <f t="shared" si="49"/>
        <v>Below Expectations</v>
      </c>
    </row>
    <row r="499" spans="1:15" x14ac:dyDescent="0.55000000000000004">
      <c r="A499" s="3">
        <v>1238911498</v>
      </c>
      <c r="B499" s="1" t="s">
        <v>12</v>
      </c>
      <c r="C499" s="6">
        <v>33376</v>
      </c>
      <c r="D499" s="6">
        <v>43490</v>
      </c>
      <c r="E499" s="6"/>
      <c r="F499" s="6"/>
      <c r="G499" s="1" t="s">
        <v>224</v>
      </c>
      <c r="H499" s="2">
        <v>79890.200000000012</v>
      </c>
      <c r="I499" s="7">
        <v>3</v>
      </c>
      <c r="J499" s="7">
        <v>3</v>
      </c>
      <c r="K499" s="7">
        <v>3</v>
      </c>
      <c r="L499" s="7">
        <v>1</v>
      </c>
      <c r="M499" s="7">
        <v>2</v>
      </c>
      <c r="N499" s="1">
        <f t="shared" si="51"/>
        <v>2</v>
      </c>
      <c r="O499" s="1" t="str">
        <f t="shared" si="49"/>
        <v>Meets Expectations</v>
      </c>
    </row>
    <row r="500" spans="1:15" x14ac:dyDescent="0.55000000000000004">
      <c r="A500" s="3">
        <v>1238911499</v>
      </c>
      <c r="B500" s="1" t="s">
        <v>14</v>
      </c>
      <c r="C500" s="6">
        <v>33413</v>
      </c>
      <c r="D500" s="6">
        <v>45014</v>
      </c>
      <c r="E500" s="6"/>
      <c r="F500" s="6"/>
      <c r="G500" s="1" t="s">
        <v>225</v>
      </c>
      <c r="H500" s="2">
        <v>75000</v>
      </c>
      <c r="I500" s="7">
        <v>1</v>
      </c>
      <c r="J500" s="7">
        <v>3</v>
      </c>
      <c r="K500" s="7">
        <v>1</v>
      </c>
      <c r="L500" s="7">
        <v>1</v>
      </c>
      <c r="M500" s="7">
        <v>1</v>
      </c>
      <c r="N500" s="1">
        <f t="shared" si="51"/>
        <v>1</v>
      </c>
      <c r="O500" s="1" t="str">
        <f t="shared" si="49"/>
        <v>Below Expectations</v>
      </c>
    </row>
    <row r="501" spans="1:15" x14ac:dyDescent="0.55000000000000004">
      <c r="A501" s="3">
        <v>1238911500</v>
      </c>
      <c r="B501" s="1" t="s">
        <v>12</v>
      </c>
      <c r="C501" s="6">
        <v>33422</v>
      </c>
      <c r="D501" s="6">
        <v>44323</v>
      </c>
      <c r="E501" s="6">
        <v>45870</v>
      </c>
      <c r="F501" s="6"/>
      <c r="G501" s="1" t="s">
        <v>138</v>
      </c>
      <c r="H501" s="2">
        <v>85461.025000000009</v>
      </c>
      <c r="I501" s="7">
        <v>1</v>
      </c>
      <c r="J501" s="7">
        <v>3</v>
      </c>
      <c r="K501" s="7">
        <v>2</v>
      </c>
      <c r="L501" s="7">
        <v>3</v>
      </c>
      <c r="M501" s="7">
        <v>3</v>
      </c>
      <c r="N501" s="1">
        <f t="shared" si="51"/>
        <v>2</v>
      </c>
      <c r="O501" s="1" t="str">
        <f t="shared" si="49"/>
        <v>Meets Expectations</v>
      </c>
    </row>
    <row r="502" spans="1:15" x14ac:dyDescent="0.55000000000000004">
      <c r="A502" s="3">
        <v>1238911501</v>
      </c>
      <c r="B502" s="1" t="s">
        <v>14</v>
      </c>
      <c r="C502" s="6">
        <v>33422</v>
      </c>
      <c r="D502" s="6">
        <v>43944</v>
      </c>
      <c r="E502" s="6"/>
      <c r="F502" s="6"/>
      <c r="G502" s="1" t="s">
        <v>226</v>
      </c>
      <c r="H502" s="2">
        <v>68750</v>
      </c>
      <c r="I502" s="7">
        <v>3</v>
      </c>
      <c r="J502" s="7">
        <v>3</v>
      </c>
      <c r="K502" s="7">
        <v>3</v>
      </c>
      <c r="L502" s="7">
        <v>2</v>
      </c>
      <c r="M502" s="7">
        <v>1</v>
      </c>
      <c r="N502" s="1">
        <f t="shared" si="51"/>
        <v>2</v>
      </c>
      <c r="O502" s="1" t="str">
        <f t="shared" si="49"/>
        <v>Meets Expectations</v>
      </c>
    </row>
    <row r="503" spans="1:15" x14ac:dyDescent="0.55000000000000004">
      <c r="A503" s="3">
        <v>1238911502</v>
      </c>
      <c r="B503" s="1" t="s">
        <v>12</v>
      </c>
      <c r="C503" s="6">
        <v>33424</v>
      </c>
      <c r="D503" s="6">
        <v>45212</v>
      </c>
      <c r="E503" s="6"/>
      <c r="F503" s="6"/>
      <c r="G503" s="1" t="s">
        <v>189</v>
      </c>
      <c r="H503" s="2">
        <v>53300</v>
      </c>
      <c r="I503" s="7">
        <v>2</v>
      </c>
      <c r="J503" s="7">
        <v>1</v>
      </c>
      <c r="K503" s="7">
        <v>1</v>
      </c>
      <c r="L503" s="7">
        <v>1</v>
      </c>
      <c r="M503" s="7">
        <v>2</v>
      </c>
      <c r="N503" s="1">
        <f t="shared" si="51"/>
        <v>1</v>
      </c>
      <c r="O503" s="1" t="str">
        <f t="shared" si="49"/>
        <v>Below Expectations</v>
      </c>
    </row>
    <row r="504" spans="1:15" x14ac:dyDescent="0.55000000000000004">
      <c r="A504" s="3">
        <v>1238911503</v>
      </c>
      <c r="B504" s="1" t="s">
        <v>12</v>
      </c>
      <c r="C504" s="6">
        <v>33435</v>
      </c>
      <c r="D504" s="6">
        <v>41860</v>
      </c>
      <c r="E504" s="6"/>
      <c r="F504" s="6"/>
      <c r="G504" s="1" t="s">
        <v>227</v>
      </c>
      <c r="H504" s="2">
        <v>61022</v>
      </c>
      <c r="I504" s="7">
        <v>2</v>
      </c>
      <c r="J504" s="7">
        <v>2</v>
      </c>
      <c r="K504" s="7">
        <v>1</v>
      </c>
      <c r="L504" s="7">
        <v>3</v>
      </c>
      <c r="M504" s="7">
        <v>1</v>
      </c>
      <c r="N504" s="1">
        <f t="shared" si="51"/>
        <v>2</v>
      </c>
      <c r="O504" s="1" t="str">
        <f t="shared" si="49"/>
        <v>Meets Expectations</v>
      </c>
    </row>
    <row r="505" spans="1:15" x14ac:dyDescent="0.55000000000000004">
      <c r="A505" s="3">
        <v>1238911504</v>
      </c>
      <c r="B505" s="1" t="s">
        <v>14</v>
      </c>
      <c r="C505" s="6">
        <v>33442</v>
      </c>
      <c r="D505" s="6">
        <v>41527</v>
      </c>
      <c r="E505" s="6"/>
      <c r="F505" s="6"/>
      <c r="G505" s="1" t="s">
        <v>141</v>
      </c>
      <c r="H505" s="2">
        <v>80314</v>
      </c>
      <c r="I505" s="7">
        <v>3</v>
      </c>
      <c r="J505" s="7">
        <v>3</v>
      </c>
      <c r="K505" s="7">
        <v>3</v>
      </c>
      <c r="L505" s="7">
        <v>2</v>
      </c>
      <c r="M505" s="7">
        <v>2</v>
      </c>
      <c r="N505" s="1">
        <f t="shared" si="51"/>
        <v>3</v>
      </c>
      <c r="O505" s="1" t="str">
        <f t="shared" si="49"/>
        <v>Exceeds Expectations</v>
      </c>
    </row>
    <row r="506" spans="1:15" x14ac:dyDescent="0.55000000000000004">
      <c r="A506" s="3">
        <v>1238911505</v>
      </c>
      <c r="B506" s="1" t="s">
        <v>14</v>
      </c>
      <c r="C506" s="6">
        <v>33297</v>
      </c>
      <c r="D506" s="6">
        <v>43409</v>
      </c>
      <c r="E506" s="6"/>
      <c r="F506" s="6"/>
      <c r="G506" s="1" t="s">
        <v>141</v>
      </c>
      <c r="H506" s="2">
        <v>80314</v>
      </c>
      <c r="I506" s="7">
        <v>3</v>
      </c>
      <c r="J506" s="7">
        <v>2</v>
      </c>
      <c r="K506" s="7">
        <v>1</v>
      </c>
      <c r="L506" s="7">
        <v>3</v>
      </c>
      <c r="M506" s="7">
        <v>1</v>
      </c>
      <c r="N506" s="1">
        <f t="shared" si="51"/>
        <v>2</v>
      </c>
      <c r="O506" s="1" t="str">
        <f t="shared" si="49"/>
        <v>Meets Expectations</v>
      </c>
    </row>
    <row r="507" spans="1:15" x14ac:dyDescent="0.55000000000000004">
      <c r="A507" s="3">
        <v>1238911506</v>
      </c>
      <c r="B507" s="1" t="s">
        <v>12</v>
      </c>
      <c r="C507" s="6">
        <v>31986</v>
      </c>
      <c r="D507" s="6">
        <v>43225</v>
      </c>
      <c r="E507" s="6">
        <v>44569</v>
      </c>
      <c r="F507" s="6"/>
      <c r="G507" s="1" t="s">
        <v>228</v>
      </c>
      <c r="H507" s="2">
        <v>65234</v>
      </c>
      <c r="I507" s="7">
        <v>1</v>
      </c>
      <c r="J507" s="7">
        <v>2</v>
      </c>
      <c r="K507" s="7">
        <v>2</v>
      </c>
      <c r="L507" s="7">
        <v>2</v>
      </c>
      <c r="M507" s="7">
        <v>3</v>
      </c>
      <c r="N507" s="1">
        <f t="shared" si="51"/>
        <v>2</v>
      </c>
      <c r="O507" s="1" t="str">
        <f t="shared" si="49"/>
        <v>Meets Expectations</v>
      </c>
    </row>
    <row r="508" spans="1:15" x14ac:dyDescent="0.55000000000000004">
      <c r="A508" s="3">
        <v>1238911507</v>
      </c>
      <c r="B508" s="1" t="s">
        <v>12</v>
      </c>
      <c r="C508" s="6">
        <v>33454</v>
      </c>
      <c r="D508" s="6">
        <v>44062</v>
      </c>
      <c r="E508" s="6"/>
      <c r="F508" s="6"/>
      <c r="G508" s="1" t="s">
        <v>229</v>
      </c>
      <c r="H508" s="2">
        <v>49725</v>
      </c>
      <c r="I508" s="7">
        <v>3</v>
      </c>
      <c r="J508" s="7">
        <v>1</v>
      </c>
      <c r="K508" s="7">
        <v>1</v>
      </c>
      <c r="L508" s="7">
        <v>2</v>
      </c>
      <c r="M508" s="7">
        <v>2</v>
      </c>
      <c r="N508" s="1">
        <f t="shared" si="51"/>
        <v>2</v>
      </c>
      <c r="O508" s="1" t="str">
        <f t="shared" si="49"/>
        <v>Meets Expectations</v>
      </c>
    </row>
    <row r="509" spans="1:15" x14ac:dyDescent="0.55000000000000004">
      <c r="A509" s="3">
        <v>1238911508</v>
      </c>
      <c r="B509" s="1" t="s">
        <v>14</v>
      </c>
      <c r="C509" s="6">
        <v>34915</v>
      </c>
      <c r="D509" s="6">
        <v>44793</v>
      </c>
      <c r="E509" s="6">
        <v>45500</v>
      </c>
      <c r="F509" s="15" t="str">
        <f ca="1">IF(E509="",DATEDIF(D509,TODAY(),"y")&amp; "Years" &amp;DATEDIF(D509,TODAY(),"ym")&amp; "Months"&amp;DATEDIF(D509,TODAY(),"md") &amp;"Days",DATEDIF(D509,E509,"y")&amp; "Years" &amp;DATEDIF(D509,E509,"ym")&amp; "Months"&amp;DATEDIF(D509,E509,"md") &amp;"Days")</f>
        <v>1Years11Months7Days</v>
      </c>
      <c r="G509" s="1" t="s">
        <v>229</v>
      </c>
      <c r="H509" s="2">
        <v>49725</v>
      </c>
      <c r="I509" s="7">
        <v>1</v>
      </c>
      <c r="J509" s="7">
        <v>3</v>
      </c>
      <c r="K509" s="7">
        <v>3</v>
      </c>
      <c r="L509" s="7">
        <v>1</v>
      </c>
      <c r="M509" s="7">
        <v>2</v>
      </c>
      <c r="N509" s="1">
        <f t="shared" si="51"/>
        <v>2</v>
      </c>
      <c r="O509" s="1" t="str">
        <f t="shared" si="49"/>
        <v>Meets Expectations</v>
      </c>
    </row>
    <row r="510" spans="1:15" x14ac:dyDescent="0.55000000000000004">
      <c r="A510" s="3">
        <v>1238911509</v>
      </c>
      <c r="B510" s="1" t="s">
        <v>12</v>
      </c>
      <c r="C510" s="6">
        <v>33461</v>
      </c>
      <c r="D510" s="6">
        <v>42812</v>
      </c>
      <c r="E510" s="6"/>
      <c r="F510" s="6"/>
      <c r="G510" s="1" t="s">
        <v>230</v>
      </c>
      <c r="H510" s="2">
        <v>82342</v>
      </c>
      <c r="I510" s="7">
        <v>1</v>
      </c>
      <c r="J510" s="7">
        <v>3</v>
      </c>
      <c r="K510" s="7">
        <v>3</v>
      </c>
      <c r="L510" s="7">
        <v>2</v>
      </c>
      <c r="M510" s="7">
        <v>2</v>
      </c>
      <c r="N510" s="1">
        <f t="shared" si="51"/>
        <v>2</v>
      </c>
      <c r="O510" s="1" t="str">
        <f t="shared" si="49"/>
        <v>Meets Expectations</v>
      </c>
    </row>
    <row r="511" spans="1:15" x14ac:dyDescent="0.55000000000000004">
      <c r="A511" s="3">
        <v>1238911510</v>
      </c>
      <c r="B511" s="1" t="s">
        <v>12</v>
      </c>
      <c r="C511" s="6">
        <v>33465</v>
      </c>
      <c r="D511" s="6">
        <v>40948</v>
      </c>
      <c r="E511" s="6"/>
      <c r="F511" s="6"/>
      <c r="G511" s="1" t="s">
        <v>72</v>
      </c>
      <c r="H511" s="2">
        <v>66880.125</v>
      </c>
      <c r="I511" s="7">
        <v>2</v>
      </c>
      <c r="J511" s="7">
        <v>2</v>
      </c>
      <c r="K511" s="7">
        <v>2</v>
      </c>
      <c r="L511" s="7">
        <v>1</v>
      </c>
      <c r="M511" s="7">
        <v>1</v>
      </c>
      <c r="N511" s="1">
        <f t="shared" si="51"/>
        <v>2</v>
      </c>
      <c r="O511" s="1" t="str">
        <f t="shared" si="49"/>
        <v>Meets Expectations</v>
      </c>
    </row>
    <row r="512" spans="1:15" x14ac:dyDescent="0.55000000000000004">
      <c r="A512" s="3">
        <v>1238911511</v>
      </c>
      <c r="B512" s="1" t="s">
        <v>12</v>
      </c>
      <c r="C512" s="6">
        <v>33487</v>
      </c>
      <c r="D512" s="6">
        <v>41524</v>
      </c>
      <c r="E512" s="6">
        <v>43992</v>
      </c>
      <c r="F512" s="6"/>
      <c r="G512" s="1" t="s">
        <v>157</v>
      </c>
      <c r="H512" s="2">
        <v>96250</v>
      </c>
      <c r="I512" s="7">
        <v>3</v>
      </c>
      <c r="J512" s="7">
        <v>2</v>
      </c>
      <c r="K512" s="7">
        <v>2</v>
      </c>
      <c r="L512" s="7">
        <v>3</v>
      </c>
      <c r="M512" s="7">
        <v>3</v>
      </c>
      <c r="N512" s="1">
        <f t="shared" si="51"/>
        <v>3</v>
      </c>
      <c r="O512" s="1" t="str">
        <f t="shared" si="49"/>
        <v>Exceeds Expectations</v>
      </c>
    </row>
    <row r="513" spans="1:15" x14ac:dyDescent="0.55000000000000004">
      <c r="A513" s="3">
        <v>1238911512</v>
      </c>
      <c r="B513" s="1" t="s">
        <v>14</v>
      </c>
      <c r="C513" s="6">
        <v>33494</v>
      </c>
      <c r="D513" s="6">
        <v>41494</v>
      </c>
      <c r="E513" s="6">
        <v>45484</v>
      </c>
      <c r="F513" s="6"/>
      <c r="G513" s="1" t="s">
        <v>134</v>
      </c>
      <c r="H513" s="2">
        <v>57382</v>
      </c>
      <c r="I513" s="7">
        <v>3</v>
      </c>
      <c r="J513" s="7">
        <v>2</v>
      </c>
      <c r="K513" s="7">
        <v>2</v>
      </c>
      <c r="L513" s="7">
        <v>3</v>
      </c>
      <c r="M513" s="7">
        <v>2</v>
      </c>
      <c r="N513" s="1">
        <f t="shared" si="51"/>
        <v>2</v>
      </c>
      <c r="O513" s="1" t="str">
        <f t="shared" si="49"/>
        <v>Meets Expectations</v>
      </c>
    </row>
    <row r="514" spans="1:15" x14ac:dyDescent="0.55000000000000004">
      <c r="A514" s="3">
        <v>1238911513</v>
      </c>
      <c r="B514" s="1" t="s">
        <v>12</v>
      </c>
      <c r="C514" s="6">
        <v>33495</v>
      </c>
      <c r="D514" s="6">
        <v>44606</v>
      </c>
      <c r="E514" s="6"/>
      <c r="F514" s="6"/>
      <c r="G514" s="1" t="s">
        <v>231</v>
      </c>
      <c r="H514" s="2">
        <v>66300</v>
      </c>
      <c r="I514" s="7">
        <v>2</v>
      </c>
      <c r="J514" s="7">
        <v>2</v>
      </c>
      <c r="K514" s="7">
        <v>3</v>
      </c>
      <c r="L514" s="7">
        <v>3</v>
      </c>
      <c r="M514" s="7">
        <v>2</v>
      </c>
      <c r="N514" s="1">
        <f t="shared" si="51"/>
        <v>2</v>
      </c>
      <c r="O514" s="1" t="str">
        <f t="shared" si="49"/>
        <v>Meets Expectations</v>
      </c>
    </row>
    <row r="515" spans="1:15" x14ac:dyDescent="0.55000000000000004">
      <c r="A515" s="3">
        <v>1238911514</v>
      </c>
      <c r="B515" s="1" t="s">
        <v>12</v>
      </c>
      <c r="C515" s="6">
        <v>33503</v>
      </c>
      <c r="D515" s="6">
        <v>43934</v>
      </c>
      <c r="E515" s="6"/>
      <c r="F515" s="6"/>
      <c r="G515" s="1" t="s">
        <v>232</v>
      </c>
      <c r="H515" s="2">
        <v>96252</v>
      </c>
      <c r="I515" s="7">
        <v>1</v>
      </c>
      <c r="J515" s="7">
        <v>3</v>
      </c>
      <c r="K515" s="7">
        <v>1</v>
      </c>
      <c r="L515" s="7">
        <v>1</v>
      </c>
      <c r="M515" s="7">
        <v>1</v>
      </c>
      <c r="N515" s="1">
        <f t="shared" si="51"/>
        <v>1</v>
      </c>
      <c r="O515" s="1" t="str">
        <f t="shared" si="49"/>
        <v>Below Expectations</v>
      </c>
    </row>
    <row r="516" spans="1:15" x14ac:dyDescent="0.55000000000000004">
      <c r="A516" s="3">
        <v>1238911515</v>
      </c>
      <c r="B516" s="1" t="s">
        <v>14</v>
      </c>
      <c r="C516" s="6">
        <v>33508</v>
      </c>
      <c r="D516" s="6">
        <v>42941</v>
      </c>
      <c r="E516" s="6"/>
      <c r="F516" s="6"/>
      <c r="G516" s="1" t="s">
        <v>233</v>
      </c>
      <c r="H516" s="2">
        <v>52494</v>
      </c>
      <c r="I516" s="7">
        <v>1</v>
      </c>
      <c r="J516" s="7">
        <v>2</v>
      </c>
      <c r="K516" s="7">
        <v>1</v>
      </c>
      <c r="L516" s="7">
        <v>3</v>
      </c>
      <c r="M516" s="7">
        <v>2</v>
      </c>
      <c r="N516" s="1">
        <f t="shared" si="51"/>
        <v>2</v>
      </c>
      <c r="O516" s="1" t="str">
        <f t="shared" ref="O516:O579" si="52">IF(N516=1,"Below Expectations",IF(N516=2,"Meets Expectations","Exceeds Expectations"))</f>
        <v>Meets Expectations</v>
      </c>
    </row>
    <row r="517" spans="1:15" x14ac:dyDescent="0.55000000000000004">
      <c r="A517" s="3">
        <v>1238911516</v>
      </c>
      <c r="B517" s="1" t="s">
        <v>14</v>
      </c>
      <c r="C517" s="6">
        <v>33511</v>
      </c>
      <c r="D517" s="6">
        <v>43340</v>
      </c>
      <c r="E517" s="6"/>
      <c r="F517" s="15" t="str">
        <f t="shared" ref="F517:F518" ca="1" si="53">IF(E517="",DATEDIF(D517,TODAY(),"y")&amp; "Years" &amp;DATEDIF(D517,TODAY(),"ym")&amp; "Months"&amp;DATEDIF(D517,TODAY(),"md") &amp;"Days",DATEDIF(D517,E517,"y")&amp; "Years" &amp;DATEDIF(D517,E517,"ym")&amp; "Months"&amp;DATEDIF(D517,E517,"md") &amp;"Days")</f>
        <v>7Years8Months15Days</v>
      </c>
      <c r="G517" s="1" t="s">
        <v>87</v>
      </c>
      <c r="H517" s="2">
        <v>30212</v>
      </c>
      <c r="I517" s="7">
        <v>1</v>
      </c>
      <c r="J517" s="7">
        <v>1</v>
      </c>
      <c r="K517" s="7">
        <v>2</v>
      </c>
      <c r="L517" s="7">
        <v>3</v>
      </c>
      <c r="M517" s="7">
        <v>2</v>
      </c>
      <c r="N517" s="1">
        <f t="shared" si="51"/>
        <v>2</v>
      </c>
      <c r="O517" s="1" t="str">
        <f t="shared" si="52"/>
        <v>Meets Expectations</v>
      </c>
    </row>
    <row r="518" spans="1:15" x14ac:dyDescent="0.55000000000000004">
      <c r="A518" s="3">
        <v>1238911517</v>
      </c>
      <c r="B518" s="1" t="s">
        <v>14</v>
      </c>
      <c r="C518" s="6">
        <v>33460</v>
      </c>
      <c r="D518" s="6">
        <v>42668</v>
      </c>
      <c r="E518" s="6">
        <v>43340</v>
      </c>
      <c r="F518" s="15" t="str">
        <f t="shared" ca="1" si="53"/>
        <v>1Years10Months3Days</v>
      </c>
      <c r="G518" s="1" t="s">
        <v>87</v>
      </c>
      <c r="H518" s="2">
        <v>30212</v>
      </c>
      <c r="I518" s="7">
        <v>1</v>
      </c>
      <c r="J518" s="7">
        <v>2</v>
      </c>
      <c r="K518" s="7">
        <v>3</v>
      </c>
      <c r="L518" s="7">
        <v>1</v>
      </c>
      <c r="M518" s="7">
        <v>1</v>
      </c>
      <c r="N518" s="1">
        <f t="shared" si="51"/>
        <v>2</v>
      </c>
      <c r="O518" s="1" t="str">
        <f t="shared" si="52"/>
        <v>Meets Expectations</v>
      </c>
    </row>
    <row r="519" spans="1:15" x14ac:dyDescent="0.55000000000000004">
      <c r="A519" s="3">
        <v>1238911518</v>
      </c>
      <c r="B519" s="1" t="s">
        <v>14</v>
      </c>
      <c r="C519" s="6">
        <v>33515</v>
      </c>
      <c r="D519" s="6">
        <v>44650</v>
      </c>
      <c r="E519" s="6"/>
      <c r="F519" s="6"/>
      <c r="G519" s="1" t="s">
        <v>234</v>
      </c>
      <c r="H519" s="2">
        <v>69781.25</v>
      </c>
      <c r="I519" s="7">
        <v>2</v>
      </c>
      <c r="J519" s="7">
        <v>1</v>
      </c>
      <c r="K519" s="7">
        <v>2</v>
      </c>
      <c r="L519" s="7">
        <v>2</v>
      </c>
      <c r="M519" s="7">
        <v>3</v>
      </c>
      <c r="N519" s="1">
        <f t="shared" si="51"/>
        <v>2</v>
      </c>
      <c r="O519" s="1" t="str">
        <f t="shared" si="52"/>
        <v>Meets Expectations</v>
      </c>
    </row>
    <row r="520" spans="1:15" x14ac:dyDescent="0.55000000000000004">
      <c r="A520" s="3">
        <v>1238911519</v>
      </c>
      <c r="B520" s="1" t="s">
        <v>14</v>
      </c>
      <c r="C520" s="6">
        <v>33536</v>
      </c>
      <c r="D520" s="6">
        <v>42742</v>
      </c>
      <c r="E520" s="6"/>
      <c r="F520" s="15" t="str">
        <f ca="1">IF(E520="",DATEDIF(D520,TODAY(),"y")&amp; "Years" &amp;DATEDIF(D520,TODAY(),"ym")&amp; "Months"&amp;DATEDIF(D520,TODAY(),"md") &amp;"Days",DATEDIF(D520,E520,"y")&amp; "Years" &amp;DATEDIF(D520,E520,"ym")&amp; "Months"&amp;DATEDIF(D520,E520,"md") &amp;"Days")</f>
        <v>9Years4Months6Days</v>
      </c>
      <c r="G520" s="1" t="s">
        <v>80</v>
      </c>
      <c r="H520" s="2">
        <v>45500</v>
      </c>
      <c r="I520" s="7">
        <v>2</v>
      </c>
      <c r="J520" s="7">
        <v>3</v>
      </c>
      <c r="K520" s="7">
        <v>2</v>
      </c>
      <c r="L520" s="7">
        <v>2</v>
      </c>
      <c r="M520" s="7">
        <v>3</v>
      </c>
      <c r="N520" s="1">
        <f t="shared" ref="N520:N583" si="54">ROUND(AVERAGE(I520:M520),0)</f>
        <v>2</v>
      </c>
      <c r="O520" s="1" t="str">
        <f t="shared" si="52"/>
        <v>Meets Expectations</v>
      </c>
    </row>
    <row r="521" spans="1:15" x14ac:dyDescent="0.55000000000000004">
      <c r="A521" s="3">
        <v>1238911520</v>
      </c>
      <c r="B521" s="1" t="s">
        <v>12</v>
      </c>
      <c r="C521" s="6">
        <v>33539</v>
      </c>
      <c r="D521" s="6">
        <v>43462</v>
      </c>
      <c r="E521" s="6"/>
      <c r="F521" s="6"/>
      <c r="G521" s="1" t="s">
        <v>136</v>
      </c>
      <c r="H521" s="2">
        <v>82500</v>
      </c>
      <c r="I521" s="7">
        <v>2</v>
      </c>
      <c r="J521" s="7">
        <v>3</v>
      </c>
      <c r="K521" s="7">
        <v>3</v>
      </c>
      <c r="L521" s="7">
        <v>3</v>
      </c>
      <c r="M521" s="7">
        <v>2</v>
      </c>
      <c r="N521" s="1">
        <f t="shared" si="54"/>
        <v>3</v>
      </c>
      <c r="O521" s="1" t="str">
        <f t="shared" si="52"/>
        <v>Exceeds Expectations</v>
      </c>
    </row>
    <row r="522" spans="1:15" x14ac:dyDescent="0.55000000000000004">
      <c r="A522" s="3">
        <v>1238911521</v>
      </c>
      <c r="B522" s="1" t="s">
        <v>12</v>
      </c>
      <c r="C522" s="6">
        <v>33543</v>
      </c>
      <c r="D522" s="6">
        <v>42860</v>
      </c>
      <c r="E522" s="6"/>
      <c r="F522" s="6"/>
      <c r="G522" s="1" t="s">
        <v>63</v>
      </c>
      <c r="H522" s="2">
        <v>97479.2</v>
      </c>
      <c r="I522" s="7">
        <v>3</v>
      </c>
      <c r="J522" s="7">
        <v>2</v>
      </c>
      <c r="K522" s="7">
        <v>3</v>
      </c>
      <c r="L522" s="7">
        <v>3</v>
      </c>
      <c r="M522" s="7">
        <v>3</v>
      </c>
      <c r="N522" s="1">
        <f t="shared" si="54"/>
        <v>3</v>
      </c>
      <c r="O522" s="1" t="str">
        <f t="shared" si="52"/>
        <v>Exceeds Expectations</v>
      </c>
    </row>
    <row r="523" spans="1:15" x14ac:dyDescent="0.55000000000000004">
      <c r="A523" s="3">
        <v>1238911522</v>
      </c>
      <c r="B523" s="1" t="s">
        <v>12</v>
      </c>
      <c r="C523" s="6">
        <v>33562</v>
      </c>
      <c r="D523" s="6">
        <v>42053</v>
      </c>
      <c r="E523" s="6"/>
      <c r="F523" s="6"/>
      <c r="G523" s="1" t="s">
        <v>235</v>
      </c>
      <c r="H523" s="2">
        <v>81250</v>
      </c>
      <c r="I523" s="7">
        <v>2</v>
      </c>
      <c r="J523" s="7">
        <v>2</v>
      </c>
      <c r="K523" s="7">
        <v>2</v>
      </c>
      <c r="L523" s="7">
        <v>3</v>
      </c>
      <c r="M523" s="7">
        <v>2</v>
      </c>
      <c r="N523" s="1">
        <f t="shared" si="54"/>
        <v>2</v>
      </c>
      <c r="O523" s="1" t="str">
        <f t="shared" si="52"/>
        <v>Meets Expectations</v>
      </c>
    </row>
    <row r="524" spans="1:15" x14ac:dyDescent="0.55000000000000004">
      <c r="A524" s="3">
        <v>1238911523</v>
      </c>
      <c r="B524" s="1" t="s">
        <v>14</v>
      </c>
      <c r="C524" s="6">
        <v>33567</v>
      </c>
      <c r="D524" s="6">
        <v>41929</v>
      </c>
      <c r="E524" s="6"/>
      <c r="F524" s="6"/>
      <c r="G524" s="1" t="s">
        <v>236</v>
      </c>
      <c r="H524" s="2">
        <v>73631.350000000006</v>
      </c>
      <c r="I524" s="7">
        <v>1</v>
      </c>
      <c r="J524" s="7">
        <v>2</v>
      </c>
      <c r="K524" s="7">
        <v>1</v>
      </c>
      <c r="L524" s="7">
        <v>3</v>
      </c>
      <c r="M524" s="7">
        <v>3</v>
      </c>
      <c r="N524" s="1">
        <f t="shared" si="54"/>
        <v>2</v>
      </c>
      <c r="O524" s="1" t="str">
        <f t="shared" si="52"/>
        <v>Meets Expectations</v>
      </c>
    </row>
    <row r="525" spans="1:15" x14ac:dyDescent="0.55000000000000004">
      <c r="A525" s="3">
        <v>1238911524</v>
      </c>
      <c r="B525" s="1" t="s">
        <v>14</v>
      </c>
      <c r="C525" s="6">
        <v>33577</v>
      </c>
      <c r="D525" s="6">
        <v>45189</v>
      </c>
      <c r="E525" s="6"/>
      <c r="F525" s="6"/>
      <c r="G525" s="1" t="s">
        <v>237</v>
      </c>
      <c r="H525" s="2">
        <v>75946</v>
      </c>
      <c r="I525" s="7">
        <v>2</v>
      </c>
      <c r="J525" s="7">
        <v>2</v>
      </c>
      <c r="K525" s="7">
        <v>1</v>
      </c>
      <c r="L525" s="7">
        <v>3</v>
      </c>
      <c r="M525" s="7">
        <v>2</v>
      </c>
      <c r="N525" s="1">
        <f t="shared" si="54"/>
        <v>2</v>
      </c>
      <c r="O525" s="1" t="str">
        <f t="shared" si="52"/>
        <v>Meets Expectations</v>
      </c>
    </row>
    <row r="526" spans="1:15" x14ac:dyDescent="0.55000000000000004">
      <c r="A526" s="3">
        <v>1238911525</v>
      </c>
      <c r="B526" s="1" t="s">
        <v>12</v>
      </c>
      <c r="C526" s="6">
        <v>33578</v>
      </c>
      <c r="D526" s="6">
        <v>42554</v>
      </c>
      <c r="E526" s="6"/>
      <c r="F526" s="6"/>
      <c r="G526" s="1" t="s">
        <v>238</v>
      </c>
      <c r="H526" s="2">
        <v>75113.75</v>
      </c>
      <c r="I526" s="7">
        <v>1</v>
      </c>
      <c r="J526" s="7">
        <v>2</v>
      </c>
      <c r="K526" s="7">
        <v>2</v>
      </c>
      <c r="L526" s="7">
        <v>3</v>
      </c>
      <c r="M526" s="7">
        <v>3</v>
      </c>
      <c r="N526" s="1">
        <f t="shared" si="54"/>
        <v>2</v>
      </c>
      <c r="O526" s="1" t="str">
        <f t="shared" si="52"/>
        <v>Meets Expectations</v>
      </c>
    </row>
    <row r="527" spans="1:15" x14ac:dyDescent="0.55000000000000004">
      <c r="A527" s="3">
        <v>1238911526</v>
      </c>
      <c r="B527" s="1" t="s">
        <v>14</v>
      </c>
      <c r="C527" s="6">
        <v>33597</v>
      </c>
      <c r="D527" s="6">
        <v>41896</v>
      </c>
      <c r="E527" s="6"/>
      <c r="F527" s="15" t="str">
        <f ca="1">IF(E527="",DATEDIF(D527,TODAY(),"y")&amp; "Years" &amp;DATEDIF(D527,TODAY(),"ym")&amp; "Months"&amp;DATEDIF(D527,TODAY(),"md") &amp;"Days",DATEDIF(D527,E527,"y")&amp; "Years" &amp;DATEDIF(D527,E527,"ym")&amp; "Months"&amp;DATEDIF(D527,E527,"md") &amp;"Days")</f>
        <v>11Years7Months29Days</v>
      </c>
      <c r="G527" s="1" t="s">
        <v>44</v>
      </c>
      <c r="H527" s="2">
        <v>37351.25</v>
      </c>
      <c r="I527" s="7">
        <v>3</v>
      </c>
      <c r="J527" s="7">
        <v>3</v>
      </c>
      <c r="K527" s="7">
        <v>2</v>
      </c>
      <c r="L527" s="7">
        <v>2</v>
      </c>
      <c r="M527" s="7">
        <v>3</v>
      </c>
      <c r="N527" s="1">
        <f t="shared" si="54"/>
        <v>3</v>
      </c>
      <c r="O527" s="1" t="str">
        <f t="shared" si="52"/>
        <v>Exceeds Expectations</v>
      </c>
    </row>
    <row r="528" spans="1:15" x14ac:dyDescent="0.55000000000000004">
      <c r="A528" s="3">
        <v>1238911527</v>
      </c>
      <c r="B528" s="1" t="s">
        <v>14</v>
      </c>
      <c r="C528" s="6">
        <v>33693</v>
      </c>
      <c r="D528" s="6">
        <v>44818</v>
      </c>
      <c r="E528" s="6"/>
      <c r="F528" s="6"/>
      <c r="G528" s="1" t="s">
        <v>142</v>
      </c>
      <c r="H528" s="2">
        <v>52520</v>
      </c>
      <c r="I528" s="7">
        <v>3</v>
      </c>
      <c r="J528" s="7">
        <v>3</v>
      </c>
      <c r="K528" s="7">
        <v>3</v>
      </c>
      <c r="L528" s="7">
        <v>3</v>
      </c>
      <c r="M528" s="7">
        <v>2</v>
      </c>
      <c r="N528" s="1">
        <f t="shared" si="54"/>
        <v>3</v>
      </c>
      <c r="O528" s="1" t="str">
        <f t="shared" si="52"/>
        <v>Exceeds Expectations</v>
      </c>
    </row>
    <row r="529" spans="1:15" x14ac:dyDescent="0.55000000000000004">
      <c r="A529" s="3">
        <v>1238911528</v>
      </c>
      <c r="B529" s="1" t="s">
        <v>14</v>
      </c>
      <c r="C529" s="6">
        <v>32164</v>
      </c>
      <c r="D529" s="6">
        <v>41036</v>
      </c>
      <c r="E529" s="6">
        <v>44925</v>
      </c>
      <c r="F529" s="6"/>
      <c r="G529" s="1" t="s">
        <v>239</v>
      </c>
      <c r="H529" s="2">
        <v>105948.375</v>
      </c>
      <c r="I529" s="7">
        <v>2</v>
      </c>
      <c r="J529" s="7">
        <v>2</v>
      </c>
      <c r="K529" s="7">
        <v>3</v>
      </c>
      <c r="L529" s="7">
        <v>2</v>
      </c>
      <c r="M529" s="7">
        <v>3</v>
      </c>
      <c r="N529" s="1">
        <f t="shared" si="54"/>
        <v>2</v>
      </c>
      <c r="O529" s="1" t="str">
        <f t="shared" si="52"/>
        <v>Meets Expectations</v>
      </c>
    </row>
    <row r="530" spans="1:15" x14ac:dyDescent="0.55000000000000004">
      <c r="A530" s="3">
        <v>1238911529</v>
      </c>
      <c r="B530" s="1" t="s">
        <v>12</v>
      </c>
      <c r="C530" s="6">
        <v>33627</v>
      </c>
      <c r="D530" s="6">
        <v>42846</v>
      </c>
      <c r="E530" s="6"/>
      <c r="F530" s="6"/>
      <c r="G530" s="1" t="s">
        <v>74</v>
      </c>
      <c r="H530" s="2">
        <v>49997.5</v>
      </c>
      <c r="I530" s="7">
        <v>2</v>
      </c>
      <c r="J530" s="7">
        <v>1</v>
      </c>
      <c r="K530" s="7">
        <v>2</v>
      </c>
      <c r="L530" s="7">
        <v>3</v>
      </c>
      <c r="M530" s="7">
        <v>1</v>
      </c>
      <c r="N530" s="1">
        <f t="shared" si="54"/>
        <v>2</v>
      </c>
      <c r="O530" s="1" t="str">
        <f t="shared" si="52"/>
        <v>Meets Expectations</v>
      </c>
    </row>
    <row r="531" spans="1:15" x14ac:dyDescent="0.55000000000000004">
      <c r="A531" s="3">
        <v>1238911530</v>
      </c>
      <c r="B531" s="1" t="s">
        <v>12</v>
      </c>
      <c r="C531" s="6">
        <v>33754</v>
      </c>
      <c r="D531" s="6">
        <v>42672</v>
      </c>
      <c r="E531" s="6"/>
      <c r="F531" s="6"/>
      <c r="G531" s="1" t="s">
        <v>136</v>
      </c>
      <c r="H531" s="2">
        <v>97838</v>
      </c>
      <c r="I531" s="7">
        <v>2</v>
      </c>
      <c r="J531" s="7">
        <v>2</v>
      </c>
      <c r="K531" s="7">
        <v>3</v>
      </c>
      <c r="L531" s="7">
        <v>3</v>
      </c>
      <c r="M531" s="7">
        <v>1</v>
      </c>
      <c r="N531" s="1">
        <f t="shared" si="54"/>
        <v>2</v>
      </c>
      <c r="O531" s="1" t="str">
        <f t="shared" si="52"/>
        <v>Meets Expectations</v>
      </c>
    </row>
    <row r="532" spans="1:15" x14ac:dyDescent="0.55000000000000004">
      <c r="A532" s="3">
        <v>1238911531</v>
      </c>
      <c r="B532" s="1" t="s">
        <v>12</v>
      </c>
      <c r="C532" s="6">
        <v>33627</v>
      </c>
      <c r="D532" s="6">
        <v>42841</v>
      </c>
      <c r="E532" s="6"/>
      <c r="F532" s="6"/>
      <c r="G532" s="1" t="s">
        <v>74</v>
      </c>
      <c r="H532" s="2">
        <v>49997.5</v>
      </c>
      <c r="I532" s="7">
        <v>2</v>
      </c>
      <c r="J532" s="7">
        <v>1</v>
      </c>
      <c r="K532" s="7">
        <v>1</v>
      </c>
      <c r="L532" s="7">
        <v>3</v>
      </c>
      <c r="M532" s="7">
        <v>1</v>
      </c>
      <c r="N532" s="1">
        <f t="shared" si="54"/>
        <v>2</v>
      </c>
      <c r="O532" s="1" t="str">
        <f t="shared" si="52"/>
        <v>Meets Expectations</v>
      </c>
    </row>
    <row r="533" spans="1:15" x14ac:dyDescent="0.55000000000000004">
      <c r="A533" s="3">
        <v>1238911532</v>
      </c>
      <c r="B533" s="1" t="s">
        <v>12</v>
      </c>
      <c r="C533" s="6">
        <v>33629</v>
      </c>
      <c r="D533" s="6">
        <v>41750</v>
      </c>
      <c r="E533" s="6"/>
      <c r="F533" s="6"/>
      <c r="G533" s="1" t="s">
        <v>118</v>
      </c>
      <c r="H533" s="2">
        <v>48948.387499999997</v>
      </c>
      <c r="I533" s="7">
        <v>2</v>
      </c>
      <c r="J533" s="7">
        <v>1</v>
      </c>
      <c r="K533" s="7">
        <v>2</v>
      </c>
      <c r="L533" s="7">
        <v>3</v>
      </c>
      <c r="M533" s="7">
        <v>3</v>
      </c>
      <c r="N533" s="1">
        <f t="shared" si="54"/>
        <v>2</v>
      </c>
      <c r="O533" s="1" t="str">
        <f t="shared" si="52"/>
        <v>Meets Expectations</v>
      </c>
    </row>
    <row r="534" spans="1:15" x14ac:dyDescent="0.55000000000000004">
      <c r="A534" s="3">
        <v>1238911533</v>
      </c>
      <c r="B534" s="1" t="s">
        <v>14</v>
      </c>
      <c r="C534" s="6">
        <v>33643</v>
      </c>
      <c r="D534" s="6">
        <v>41995</v>
      </c>
      <c r="E534" s="6"/>
      <c r="F534" s="6"/>
      <c r="G534" s="1" t="s">
        <v>240</v>
      </c>
      <c r="H534" s="2">
        <v>87597.900000000009</v>
      </c>
      <c r="I534" s="7">
        <v>1</v>
      </c>
      <c r="J534" s="7">
        <v>3</v>
      </c>
      <c r="K534" s="7">
        <v>3</v>
      </c>
      <c r="L534" s="7">
        <v>1</v>
      </c>
      <c r="M534" s="7">
        <v>2</v>
      </c>
      <c r="N534" s="1">
        <f t="shared" si="54"/>
        <v>2</v>
      </c>
      <c r="O534" s="1" t="str">
        <f t="shared" si="52"/>
        <v>Meets Expectations</v>
      </c>
    </row>
    <row r="535" spans="1:15" x14ac:dyDescent="0.55000000000000004">
      <c r="A535" s="3">
        <v>1238911534</v>
      </c>
      <c r="B535" s="1" t="s">
        <v>12</v>
      </c>
      <c r="C535" s="6">
        <v>32507</v>
      </c>
      <c r="D535" s="6">
        <v>44873</v>
      </c>
      <c r="E535" s="6"/>
      <c r="F535" s="6"/>
      <c r="G535" s="1" t="s">
        <v>136</v>
      </c>
      <c r="H535" s="2">
        <v>79924</v>
      </c>
      <c r="I535" s="7">
        <v>2</v>
      </c>
      <c r="J535" s="7">
        <v>2</v>
      </c>
      <c r="K535" s="7">
        <v>2</v>
      </c>
      <c r="L535" s="7">
        <v>2</v>
      </c>
      <c r="M535" s="7">
        <v>1</v>
      </c>
      <c r="N535" s="1">
        <f t="shared" si="54"/>
        <v>2</v>
      </c>
      <c r="O535" s="1" t="str">
        <f t="shared" si="52"/>
        <v>Meets Expectations</v>
      </c>
    </row>
    <row r="536" spans="1:15" x14ac:dyDescent="0.55000000000000004">
      <c r="A536" s="3">
        <v>1238911535</v>
      </c>
      <c r="B536" s="1" t="s">
        <v>12</v>
      </c>
      <c r="C536" s="6">
        <v>33657</v>
      </c>
      <c r="D536" s="6">
        <v>44873</v>
      </c>
      <c r="E536" s="6">
        <v>45198</v>
      </c>
      <c r="F536" s="6"/>
      <c r="G536" s="1" t="s">
        <v>136</v>
      </c>
      <c r="H536" s="2">
        <v>79924</v>
      </c>
      <c r="I536" s="7">
        <v>3</v>
      </c>
      <c r="J536" s="7">
        <v>3</v>
      </c>
      <c r="K536" s="7">
        <v>1</v>
      </c>
      <c r="L536" s="7">
        <v>3</v>
      </c>
      <c r="M536" s="7">
        <v>2</v>
      </c>
      <c r="N536" s="1">
        <f t="shared" si="54"/>
        <v>2</v>
      </c>
      <c r="O536" s="1" t="str">
        <f t="shared" si="52"/>
        <v>Meets Expectations</v>
      </c>
    </row>
    <row r="537" spans="1:15" x14ac:dyDescent="0.55000000000000004">
      <c r="A537" s="3">
        <v>1238911536</v>
      </c>
      <c r="B537" s="1" t="s">
        <v>12</v>
      </c>
      <c r="C537" s="6">
        <v>33689</v>
      </c>
      <c r="D537" s="6">
        <v>44341</v>
      </c>
      <c r="E537" s="6"/>
      <c r="F537" s="6"/>
      <c r="G537" s="1" t="s">
        <v>241</v>
      </c>
      <c r="H537" s="2">
        <v>60445</v>
      </c>
      <c r="I537" s="7">
        <v>2</v>
      </c>
      <c r="J537" s="7">
        <v>3</v>
      </c>
      <c r="K537" s="7">
        <v>3</v>
      </c>
      <c r="L537" s="7">
        <v>1</v>
      </c>
      <c r="M537" s="7">
        <v>2</v>
      </c>
      <c r="N537" s="1">
        <f t="shared" si="54"/>
        <v>2</v>
      </c>
      <c r="O537" s="1" t="str">
        <f t="shared" si="52"/>
        <v>Meets Expectations</v>
      </c>
    </row>
    <row r="538" spans="1:15" x14ac:dyDescent="0.55000000000000004">
      <c r="A538" s="3">
        <v>1238911537</v>
      </c>
      <c r="B538" s="1" t="s">
        <v>14</v>
      </c>
      <c r="C538" s="6">
        <v>33693</v>
      </c>
      <c r="D538" s="6">
        <v>41626</v>
      </c>
      <c r="E538" s="6"/>
      <c r="F538" s="15" t="str">
        <f t="shared" ref="F538:F539" ca="1" si="55">IF(E538="",DATEDIF(D538,TODAY(),"y")&amp; "Years" &amp;DATEDIF(D538,TODAY(),"ym")&amp; "Months"&amp;DATEDIF(D538,TODAY(),"md") &amp;"Days",DATEDIF(D538,E538,"y")&amp; "Years" &amp;DATEDIF(D538,E538,"ym")&amp; "Months"&amp;DATEDIF(D538,E538,"md") &amp;"Days")</f>
        <v>12Years4Months25Days</v>
      </c>
      <c r="G538" s="1" t="s">
        <v>242</v>
      </c>
      <c r="H538" s="2">
        <v>49296</v>
      </c>
      <c r="I538" s="7">
        <v>1</v>
      </c>
      <c r="J538" s="7">
        <v>3</v>
      </c>
      <c r="K538" s="7">
        <v>1</v>
      </c>
      <c r="L538" s="7">
        <v>2</v>
      </c>
      <c r="M538" s="7">
        <v>2</v>
      </c>
      <c r="N538" s="1">
        <f t="shared" si="54"/>
        <v>2</v>
      </c>
      <c r="O538" s="1" t="str">
        <f t="shared" si="52"/>
        <v>Meets Expectations</v>
      </c>
    </row>
    <row r="539" spans="1:15" x14ac:dyDescent="0.55000000000000004">
      <c r="A539" s="3">
        <v>1238911538</v>
      </c>
      <c r="B539" s="1" t="s">
        <v>14</v>
      </c>
      <c r="C539" s="6">
        <v>35078</v>
      </c>
      <c r="D539" s="6">
        <v>41626</v>
      </c>
      <c r="E539" s="6"/>
      <c r="F539" s="15" t="str">
        <f t="shared" ca="1" si="55"/>
        <v>12Years4Months25Days</v>
      </c>
      <c r="G539" s="1" t="s">
        <v>242</v>
      </c>
      <c r="H539" s="2">
        <v>49296</v>
      </c>
      <c r="I539" s="7">
        <v>2</v>
      </c>
      <c r="J539" s="7">
        <v>1</v>
      </c>
      <c r="K539" s="7">
        <v>1</v>
      </c>
      <c r="L539" s="7">
        <v>3</v>
      </c>
      <c r="M539" s="7">
        <v>2</v>
      </c>
      <c r="N539" s="1">
        <f t="shared" si="54"/>
        <v>2</v>
      </c>
      <c r="O539" s="1" t="str">
        <f t="shared" si="52"/>
        <v>Meets Expectations</v>
      </c>
    </row>
    <row r="540" spans="1:15" x14ac:dyDescent="0.55000000000000004">
      <c r="A540" s="3">
        <v>1238911539</v>
      </c>
      <c r="B540" s="1" t="s">
        <v>14</v>
      </c>
      <c r="C540" s="6">
        <v>33708</v>
      </c>
      <c r="D540" s="6">
        <v>43829</v>
      </c>
      <c r="E540" s="6">
        <v>44398</v>
      </c>
      <c r="F540" s="6"/>
      <c r="G540" s="1" t="s">
        <v>243</v>
      </c>
      <c r="H540" s="2">
        <v>77508.599999999991</v>
      </c>
      <c r="I540" s="7">
        <v>1</v>
      </c>
      <c r="J540" s="7">
        <v>1</v>
      </c>
      <c r="K540" s="7">
        <v>1</v>
      </c>
      <c r="L540" s="7">
        <v>1</v>
      </c>
      <c r="M540" s="7">
        <v>3</v>
      </c>
      <c r="N540" s="1">
        <f t="shared" si="54"/>
        <v>1</v>
      </c>
      <c r="O540" s="1" t="str">
        <f t="shared" si="52"/>
        <v>Below Expectations</v>
      </c>
    </row>
    <row r="541" spans="1:15" x14ac:dyDescent="0.55000000000000004">
      <c r="A541" s="3">
        <v>1238911540</v>
      </c>
      <c r="B541" s="1" t="s">
        <v>12</v>
      </c>
      <c r="C541" s="6">
        <v>33716</v>
      </c>
      <c r="D541" s="6">
        <v>42925</v>
      </c>
      <c r="E541" s="6"/>
      <c r="F541" s="6"/>
      <c r="G541" s="1" t="s">
        <v>74</v>
      </c>
      <c r="H541" s="2">
        <v>49997.5</v>
      </c>
      <c r="I541" s="7">
        <v>3</v>
      </c>
      <c r="J541" s="7">
        <v>1</v>
      </c>
      <c r="K541" s="7">
        <v>1</v>
      </c>
      <c r="L541" s="7">
        <v>1</v>
      </c>
      <c r="M541" s="7">
        <v>2</v>
      </c>
      <c r="N541" s="1">
        <f t="shared" si="54"/>
        <v>2</v>
      </c>
      <c r="O541" s="1" t="str">
        <f t="shared" si="52"/>
        <v>Meets Expectations</v>
      </c>
    </row>
    <row r="542" spans="1:15" x14ac:dyDescent="0.55000000000000004">
      <c r="A542" s="3">
        <v>1238911541</v>
      </c>
      <c r="B542" s="1" t="s">
        <v>14</v>
      </c>
      <c r="C542" s="6">
        <v>33730</v>
      </c>
      <c r="D542" s="6">
        <v>42612</v>
      </c>
      <c r="E542" s="6"/>
      <c r="F542" s="15" t="str">
        <f t="shared" ref="F542:F543" ca="1" si="56">IF(E542="",DATEDIF(D542,TODAY(),"y")&amp; "Years" &amp;DATEDIF(D542,TODAY(),"ym")&amp; "Months"&amp;DATEDIF(D542,TODAY(),"md") &amp;"Days",DATEDIF(D542,E542,"y")&amp; "Years" &amp;DATEDIF(D542,E542,"ym")&amp; "Months"&amp;DATEDIF(D542,E542,"md") &amp;"Days")</f>
        <v>9Years8Months13Days</v>
      </c>
      <c r="G542" s="1" t="s">
        <v>96</v>
      </c>
      <c r="H542" s="2">
        <v>32292</v>
      </c>
      <c r="I542" s="7">
        <v>3</v>
      </c>
      <c r="J542" s="7">
        <v>1</v>
      </c>
      <c r="K542" s="7">
        <v>1</v>
      </c>
      <c r="L542" s="7">
        <v>2</v>
      </c>
      <c r="M542" s="7">
        <v>3</v>
      </c>
      <c r="N542" s="1">
        <f t="shared" si="54"/>
        <v>2</v>
      </c>
      <c r="O542" s="1" t="str">
        <f t="shared" si="52"/>
        <v>Meets Expectations</v>
      </c>
    </row>
    <row r="543" spans="1:15" x14ac:dyDescent="0.55000000000000004">
      <c r="A543" s="3">
        <v>1238911542</v>
      </c>
      <c r="B543" s="1" t="s">
        <v>14</v>
      </c>
      <c r="C543" s="6">
        <v>32780</v>
      </c>
      <c r="D543" s="6">
        <v>44130</v>
      </c>
      <c r="E543" s="6"/>
      <c r="F543" s="15" t="str">
        <f t="shared" ca="1" si="56"/>
        <v>5Years6Months17Days</v>
      </c>
      <c r="G543" s="1" t="s">
        <v>96</v>
      </c>
      <c r="H543" s="2">
        <v>32292</v>
      </c>
      <c r="I543" s="7">
        <v>1</v>
      </c>
      <c r="J543" s="7">
        <v>1</v>
      </c>
      <c r="K543" s="7">
        <v>1</v>
      </c>
      <c r="L543" s="7">
        <v>2</v>
      </c>
      <c r="M543" s="7">
        <v>2</v>
      </c>
      <c r="N543" s="1">
        <f t="shared" si="54"/>
        <v>1</v>
      </c>
      <c r="O543" s="1" t="str">
        <f t="shared" si="52"/>
        <v>Below Expectations</v>
      </c>
    </row>
    <row r="544" spans="1:15" x14ac:dyDescent="0.55000000000000004">
      <c r="A544" s="3">
        <v>1238911543</v>
      </c>
      <c r="B544" s="1" t="s">
        <v>12</v>
      </c>
      <c r="C544" s="6">
        <v>33731</v>
      </c>
      <c r="D544" s="6">
        <v>44190</v>
      </c>
      <c r="E544" s="6"/>
      <c r="F544" s="6"/>
      <c r="G544" s="1" t="s">
        <v>244</v>
      </c>
      <c r="H544" s="2">
        <v>51740</v>
      </c>
      <c r="I544" s="7">
        <v>3</v>
      </c>
      <c r="J544" s="7">
        <v>1</v>
      </c>
      <c r="K544" s="7">
        <v>3</v>
      </c>
      <c r="L544" s="7">
        <v>1</v>
      </c>
      <c r="M544" s="7">
        <v>3</v>
      </c>
      <c r="N544" s="1">
        <f t="shared" si="54"/>
        <v>2</v>
      </c>
      <c r="O544" s="1" t="str">
        <f t="shared" si="52"/>
        <v>Meets Expectations</v>
      </c>
    </row>
    <row r="545" spans="1:15" x14ac:dyDescent="0.55000000000000004">
      <c r="A545" s="3">
        <v>1238911544</v>
      </c>
      <c r="B545" s="1" t="s">
        <v>12</v>
      </c>
      <c r="C545" s="6">
        <v>33753</v>
      </c>
      <c r="D545" s="6">
        <v>45112</v>
      </c>
      <c r="E545" s="6"/>
      <c r="F545" s="6"/>
      <c r="G545" s="1" t="s">
        <v>187</v>
      </c>
      <c r="H545" s="2">
        <v>81250</v>
      </c>
      <c r="I545" s="7">
        <v>1</v>
      </c>
      <c r="J545" s="7">
        <v>2</v>
      </c>
      <c r="K545" s="7">
        <v>3</v>
      </c>
      <c r="L545" s="7">
        <v>1</v>
      </c>
      <c r="M545" s="7">
        <v>3</v>
      </c>
      <c r="N545" s="1">
        <f t="shared" si="54"/>
        <v>2</v>
      </c>
      <c r="O545" s="1" t="str">
        <f t="shared" si="52"/>
        <v>Meets Expectations</v>
      </c>
    </row>
    <row r="546" spans="1:15" x14ac:dyDescent="0.55000000000000004">
      <c r="A546" s="3">
        <v>1238911545</v>
      </c>
      <c r="B546" s="1" t="s">
        <v>12</v>
      </c>
      <c r="C546" s="6">
        <v>33779</v>
      </c>
      <c r="D546" s="6">
        <v>41779</v>
      </c>
      <c r="E546" s="6"/>
      <c r="F546" s="6"/>
      <c r="G546" s="1" t="s">
        <v>136</v>
      </c>
      <c r="H546" s="2">
        <v>90750</v>
      </c>
      <c r="I546" s="7">
        <v>2</v>
      </c>
      <c r="J546" s="7">
        <v>3</v>
      </c>
      <c r="K546" s="7">
        <v>3</v>
      </c>
      <c r="L546" s="7">
        <v>1</v>
      </c>
      <c r="M546" s="7">
        <v>1</v>
      </c>
      <c r="N546" s="1">
        <f t="shared" si="54"/>
        <v>2</v>
      </c>
      <c r="O546" s="1" t="str">
        <f t="shared" si="52"/>
        <v>Meets Expectations</v>
      </c>
    </row>
    <row r="547" spans="1:15" x14ac:dyDescent="0.55000000000000004">
      <c r="A547" s="3">
        <v>1238911546</v>
      </c>
      <c r="B547" s="1" t="s">
        <v>12</v>
      </c>
      <c r="C547" s="6">
        <v>32781</v>
      </c>
      <c r="D547" s="6">
        <v>42442</v>
      </c>
      <c r="E547" s="6"/>
      <c r="F547" s="6"/>
      <c r="G547" s="1" t="s">
        <v>138</v>
      </c>
      <c r="H547" s="2">
        <v>89223.875</v>
      </c>
      <c r="I547" s="7">
        <v>3</v>
      </c>
      <c r="J547" s="7">
        <v>1</v>
      </c>
      <c r="K547" s="7">
        <v>2</v>
      </c>
      <c r="L547" s="7">
        <v>3</v>
      </c>
      <c r="M547" s="7">
        <v>3</v>
      </c>
      <c r="N547" s="1">
        <f t="shared" si="54"/>
        <v>2</v>
      </c>
      <c r="O547" s="1" t="str">
        <f t="shared" si="52"/>
        <v>Meets Expectations</v>
      </c>
    </row>
    <row r="548" spans="1:15" x14ac:dyDescent="0.55000000000000004">
      <c r="A548" s="3">
        <v>1238911547</v>
      </c>
      <c r="B548" s="1" t="s">
        <v>12</v>
      </c>
      <c r="C548" s="6">
        <v>33786</v>
      </c>
      <c r="D548" s="6">
        <v>42731</v>
      </c>
      <c r="E548" s="6"/>
      <c r="F548" s="6"/>
      <c r="G548" s="1" t="s">
        <v>138</v>
      </c>
      <c r="H548" s="2">
        <v>89223.875</v>
      </c>
      <c r="I548" s="7">
        <v>3</v>
      </c>
      <c r="J548" s="7">
        <v>1</v>
      </c>
      <c r="K548" s="7">
        <v>2</v>
      </c>
      <c r="L548" s="7">
        <v>3</v>
      </c>
      <c r="M548" s="7">
        <v>2</v>
      </c>
      <c r="N548" s="1">
        <f t="shared" si="54"/>
        <v>2</v>
      </c>
      <c r="O548" s="1" t="str">
        <f t="shared" si="52"/>
        <v>Meets Expectations</v>
      </c>
    </row>
    <row r="549" spans="1:15" x14ac:dyDescent="0.55000000000000004">
      <c r="A549" s="3">
        <v>1238911548</v>
      </c>
      <c r="B549" s="1" t="s">
        <v>14</v>
      </c>
      <c r="C549" s="6">
        <v>33790</v>
      </c>
      <c r="D549" s="6">
        <v>44251</v>
      </c>
      <c r="E549" s="6">
        <v>44419</v>
      </c>
      <c r="F549" s="6"/>
      <c r="G549" s="1" t="s">
        <v>245</v>
      </c>
      <c r="H549" s="2">
        <v>80162.5</v>
      </c>
      <c r="I549" s="7">
        <v>1</v>
      </c>
      <c r="J549" s="7">
        <v>1</v>
      </c>
      <c r="K549" s="7">
        <v>2</v>
      </c>
      <c r="L549" s="7">
        <v>2</v>
      </c>
      <c r="M549" s="7">
        <v>1</v>
      </c>
      <c r="N549" s="1">
        <f t="shared" si="54"/>
        <v>1</v>
      </c>
      <c r="O549" s="1" t="str">
        <f t="shared" si="52"/>
        <v>Below Expectations</v>
      </c>
    </row>
    <row r="550" spans="1:15" x14ac:dyDescent="0.55000000000000004">
      <c r="A550" s="3">
        <v>1238911549</v>
      </c>
      <c r="B550" s="1" t="s">
        <v>12</v>
      </c>
      <c r="C550" s="6">
        <v>33804</v>
      </c>
      <c r="D550" s="6">
        <v>42957</v>
      </c>
      <c r="E550" s="6"/>
      <c r="F550" s="6"/>
      <c r="G550" s="1" t="s">
        <v>246</v>
      </c>
      <c r="H550" s="2">
        <v>59678.125</v>
      </c>
      <c r="I550" s="7">
        <v>2</v>
      </c>
      <c r="J550" s="7">
        <v>3</v>
      </c>
      <c r="K550" s="7">
        <v>1</v>
      </c>
      <c r="L550" s="7">
        <v>2</v>
      </c>
      <c r="M550" s="7">
        <v>1</v>
      </c>
      <c r="N550" s="1">
        <f t="shared" si="54"/>
        <v>2</v>
      </c>
      <c r="O550" s="1" t="str">
        <f t="shared" si="52"/>
        <v>Meets Expectations</v>
      </c>
    </row>
    <row r="551" spans="1:15" x14ac:dyDescent="0.55000000000000004">
      <c r="A551" s="3">
        <v>1238911550</v>
      </c>
      <c r="B551" s="1" t="s">
        <v>14</v>
      </c>
      <c r="C551" s="6">
        <v>33848</v>
      </c>
      <c r="D551" s="6">
        <v>44083</v>
      </c>
      <c r="E551" s="6"/>
      <c r="F551" s="6"/>
      <c r="G551" s="1" t="s">
        <v>220</v>
      </c>
      <c r="H551" s="2">
        <v>94484</v>
      </c>
      <c r="I551" s="7">
        <v>1</v>
      </c>
      <c r="J551" s="7">
        <v>1</v>
      </c>
      <c r="K551" s="7">
        <v>1</v>
      </c>
      <c r="L551" s="7">
        <v>2</v>
      </c>
      <c r="M551" s="7">
        <v>2</v>
      </c>
      <c r="N551" s="1">
        <f t="shared" si="54"/>
        <v>1</v>
      </c>
      <c r="O551" s="1" t="str">
        <f t="shared" si="52"/>
        <v>Below Expectations</v>
      </c>
    </row>
    <row r="552" spans="1:15" x14ac:dyDescent="0.55000000000000004">
      <c r="A552" s="3">
        <v>1238911551</v>
      </c>
      <c r="B552" s="1" t="s">
        <v>14</v>
      </c>
      <c r="C552" s="6">
        <v>34723</v>
      </c>
      <c r="D552" s="6">
        <v>44083</v>
      </c>
      <c r="E552" s="6"/>
      <c r="F552" s="6"/>
      <c r="G552" s="1" t="s">
        <v>220</v>
      </c>
      <c r="H552" s="2">
        <v>94484</v>
      </c>
      <c r="I552" s="7">
        <v>2</v>
      </c>
      <c r="J552" s="7">
        <v>3</v>
      </c>
      <c r="K552" s="7">
        <v>3</v>
      </c>
      <c r="L552" s="7">
        <v>3</v>
      </c>
      <c r="M552" s="7">
        <v>1</v>
      </c>
      <c r="N552" s="1">
        <f t="shared" si="54"/>
        <v>2</v>
      </c>
      <c r="O552" s="1" t="str">
        <f t="shared" si="52"/>
        <v>Meets Expectations</v>
      </c>
    </row>
    <row r="553" spans="1:15" x14ac:dyDescent="0.55000000000000004">
      <c r="A553" s="3">
        <v>1238911552</v>
      </c>
      <c r="B553" s="1" t="s">
        <v>14</v>
      </c>
      <c r="C553" s="6">
        <v>33881</v>
      </c>
      <c r="D553" s="6">
        <v>44390</v>
      </c>
      <c r="E553" s="6"/>
      <c r="F553" s="15" t="str">
        <f ca="1">IF(E553="",DATEDIF(D553,TODAY(),"y")&amp; "Years" &amp;DATEDIF(D553,TODAY(),"ym")&amp; "Months"&amp;DATEDIF(D553,TODAY(),"md") &amp;"Days",DATEDIF(D553,E553,"y")&amp; "Years" &amp;DATEDIF(D553,E553,"ym")&amp; "Months"&amp;DATEDIF(D553,E553,"md") &amp;"Days")</f>
        <v>4Years10Months0Days</v>
      </c>
      <c r="G553" s="1" t="s">
        <v>247</v>
      </c>
      <c r="H553" s="2">
        <v>43732.5</v>
      </c>
      <c r="I553" s="7">
        <v>2</v>
      </c>
      <c r="J553" s="7">
        <v>2</v>
      </c>
      <c r="K553" s="7">
        <v>2</v>
      </c>
      <c r="L553" s="7">
        <v>1</v>
      </c>
      <c r="M553" s="7">
        <v>2</v>
      </c>
      <c r="N553" s="1">
        <f t="shared" si="54"/>
        <v>2</v>
      </c>
      <c r="O553" s="1" t="str">
        <f t="shared" si="52"/>
        <v>Meets Expectations</v>
      </c>
    </row>
    <row r="554" spans="1:15" x14ac:dyDescent="0.55000000000000004">
      <c r="A554" s="3">
        <v>1238911553</v>
      </c>
      <c r="B554" s="1" t="s">
        <v>12</v>
      </c>
      <c r="C554" s="6">
        <v>33888</v>
      </c>
      <c r="D554" s="6">
        <v>42729</v>
      </c>
      <c r="E554" s="6"/>
      <c r="F554" s="6"/>
      <c r="G554" s="1" t="s">
        <v>58</v>
      </c>
      <c r="H554" s="2">
        <v>32343.75</v>
      </c>
      <c r="I554" s="7">
        <v>1</v>
      </c>
      <c r="J554" s="7">
        <v>1</v>
      </c>
      <c r="K554" s="7">
        <v>2</v>
      </c>
      <c r="L554" s="7">
        <v>1</v>
      </c>
      <c r="M554" s="7">
        <v>3</v>
      </c>
      <c r="N554" s="1">
        <f t="shared" si="54"/>
        <v>2</v>
      </c>
      <c r="O554" s="1" t="str">
        <f t="shared" si="52"/>
        <v>Meets Expectations</v>
      </c>
    </row>
    <row r="555" spans="1:15" x14ac:dyDescent="0.55000000000000004">
      <c r="A555" s="3">
        <v>1238911554</v>
      </c>
      <c r="B555" s="1" t="s">
        <v>12</v>
      </c>
      <c r="C555" s="6">
        <v>34336</v>
      </c>
      <c r="D555" s="6">
        <v>43828</v>
      </c>
      <c r="E555" s="6"/>
      <c r="F555" s="6"/>
      <c r="G555" s="1" t="s">
        <v>58</v>
      </c>
      <c r="H555" s="2">
        <v>32343.75</v>
      </c>
      <c r="I555" s="7">
        <v>1</v>
      </c>
      <c r="J555" s="7">
        <v>2</v>
      </c>
      <c r="K555" s="7">
        <v>2</v>
      </c>
      <c r="L555" s="7">
        <v>2</v>
      </c>
      <c r="M555" s="7">
        <v>1</v>
      </c>
      <c r="N555" s="1">
        <f t="shared" si="54"/>
        <v>2</v>
      </c>
      <c r="O555" s="1" t="str">
        <f t="shared" si="52"/>
        <v>Meets Expectations</v>
      </c>
    </row>
    <row r="556" spans="1:15" x14ac:dyDescent="0.55000000000000004">
      <c r="A556" s="3">
        <v>1238911555</v>
      </c>
      <c r="B556" s="1" t="s">
        <v>12</v>
      </c>
      <c r="C556" s="6">
        <v>33904</v>
      </c>
      <c r="D556" s="6">
        <v>44023</v>
      </c>
      <c r="E556" s="6"/>
      <c r="F556" s="6"/>
      <c r="G556" s="1" t="s">
        <v>157</v>
      </c>
      <c r="H556" s="2">
        <v>91884</v>
      </c>
      <c r="I556" s="7">
        <v>2</v>
      </c>
      <c r="J556" s="7">
        <v>3</v>
      </c>
      <c r="K556" s="7">
        <v>1</v>
      </c>
      <c r="L556" s="7">
        <v>1</v>
      </c>
      <c r="M556" s="7">
        <v>1</v>
      </c>
      <c r="N556" s="1">
        <f t="shared" si="54"/>
        <v>2</v>
      </c>
      <c r="O556" s="1" t="str">
        <f t="shared" si="52"/>
        <v>Meets Expectations</v>
      </c>
    </row>
    <row r="557" spans="1:15" x14ac:dyDescent="0.55000000000000004">
      <c r="A557" s="3">
        <v>1238911556</v>
      </c>
      <c r="B557" s="1" t="s">
        <v>12</v>
      </c>
      <c r="C557" s="6">
        <v>33915</v>
      </c>
      <c r="D557" s="6">
        <v>43397</v>
      </c>
      <c r="E557" s="6"/>
      <c r="F557" s="6"/>
      <c r="G557" s="1" t="s">
        <v>100</v>
      </c>
      <c r="H557" s="2">
        <v>99137.35</v>
      </c>
      <c r="I557" s="7">
        <v>2</v>
      </c>
      <c r="J557" s="7">
        <v>3</v>
      </c>
      <c r="K557" s="7">
        <v>1</v>
      </c>
      <c r="L557" s="7">
        <v>3</v>
      </c>
      <c r="M557" s="7">
        <v>2</v>
      </c>
      <c r="N557" s="1">
        <f t="shared" si="54"/>
        <v>2</v>
      </c>
      <c r="O557" s="1" t="str">
        <f t="shared" si="52"/>
        <v>Meets Expectations</v>
      </c>
    </row>
    <row r="558" spans="1:15" x14ac:dyDescent="0.55000000000000004">
      <c r="A558" s="3">
        <v>1238911557</v>
      </c>
      <c r="B558" s="1" t="s">
        <v>14</v>
      </c>
      <c r="C558" s="6">
        <v>33936</v>
      </c>
      <c r="D558" s="6">
        <v>42297</v>
      </c>
      <c r="E558" s="6"/>
      <c r="F558" s="6"/>
      <c r="G558" s="1" t="s">
        <v>48</v>
      </c>
      <c r="H558" s="2">
        <v>61122.1</v>
      </c>
      <c r="I558" s="7">
        <v>3</v>
      </c>
      <c r="J558" s="7">
        <v>2</v>
      </c>
      <c r="K558" s="7">
        <v>2</v>
      </c>
      <c r="L558" s="7">
        <v>3</v>
      </c>
      <c r="M558" s="7">
        <v>3</v>
      </c>
      <c r="N558" s="1">
        <f t="shared" si="54"/>
        <v>3</v>
      </c>
      <c r="O558" s="1" t="str">
        <f t="shared" si="52"/>
        <v>Exceeds Expectations</v>
      </c>
    </row>
    <row r="559" spans="1:15" x14ac:dyDescent="0.55000000000000004">
      <c r="A559" s="3">
        <v>1238911558</v>
      </c>
      <c r="B559" s="1" t="s">
        <v>12</v>
      </c>
      <c r="C559" s="6">
        <v>33945</v>
      </c>
      <c r="D559" s="6">
        <v>41626</v>
      </c>
      <c r="E559" s="6"/>
      <c r="F559" s="6"/>
      <c r="G559" s="1" t="s">
        <v>248</v>
      </c>
      <c r="H559" s="2">
        <v>68750</v>
      </c>
      <c r="I559" s="7">
        <v>3</v>
      </c>
      <c r="J559" s="7">
        <v>3</v>
      </c>
      <c r="K559" s="7">
        <v>2</v>
      </c>
      <c r="L559" s="7">
        <v>2</v>
      </c>
      <c r="M559" s="7">
        <v>1</v>
      </c>
      <c r="N559" s="1">
        <f t="shared" si="54"/>
        <v>2</v>
      </c>
      <c r="O559" s="1" t="str">
        <f t="shared" si="52"/>
        <v>Meets Expectations</v>
      </c>
    </row>
    <row r="560" spans="1:15" x14ac:dyDescent="0.55000000000000004">
      <c r="A560" s="3">
        <v>1238911559</v>
      </c>
      <c r="B560" s="1" t="s">
        <v>14</v>
      </c>
      <c r="C560" s="6">
        <v>35064</v>
      </c>
      <c r="D560" s="6">
        <v>45643</v>
      </c>
      <c r="E560" s="6"/>
      <c r="F560" s="6"/>
      <c r="G560" s="4" t="s">
        <v>248</v>
      </c>
      <c r="H560" s="2">
        <v>68750</v>
      </c>
      <c r="I560" s="7">
        <v>2</v>
      </c>
      <c r="J560" s="7">
        <v>2</v>
      </c>
      <c r="K560" s="7">
        <v>3</v>
      </c>
      <c r="L560" s="7">
        <v>3</v>
      </c>
      <c r="M560" s="7">
        <v>2</v>
      </c>
      <c r="N560" s="1">
        <f t="shared" si="54"/>
        <v>2</v>
      </c>
      <c r="O560" s="1" t="str">
        <f t="shared" si="52"/>
        <v>Meets Expectations</v>
      </c>
    </row>
    <row r="561" spans="1:15" x14ac:dyDescent="0.55000000000000004">
      <c r="A561" s="3">
        <v>1238911560</v>
      </c>
      <c r="B561" s="1" t="s">
        <v>14</v>
      </c>
      <c r="C561" s="6">
        <v>33956</v>
      </c>
      <c r="D561" s="6">
        <v>42536</v>
      </c>
      <c r="E561" s="6"/>
      <c r="F561" s="6"/>
      <c r="G561" s="1" t="s">
        <v>249</v>
      </c>
      <c r="H561" s="2">
        <v>70097.299999999988</v>
      </c>
      <c r="I561" s="7">
        <v>3</v>
      </c>
      <c r="J561" s="7">
        <v>1</v>
      </c>
      <c r="K561" s="7">
        <v>1</v>
      </c>
      <c r="L561" s="7">
        <v>2</v>
      </c>
      <c r="M561" s="7">
        <v>3</v>
      </c>
      <c r="N561" s="1">
        <f t="shared" si="54"/>
        <v>2</v>
      </c>
      <c r="O561" s="1" t="str">
        <f t="shared" si="52"/>
        <v>Meets Expectations</v>
      </c>
    </row>
    <row r="562" spans="1:15" x14ac:dyDescent="0.55000000000000004">
      <c r="A562" s="3">
        <v>1238911561</v>
      </c>
      <c r="B562" s="1" t="s">
        <v>12</v>
      </c>
      <c r="C562" s="6">
        <v>33981</v>
      </c>
      <c r="D562" s="6">
        <v>41124</v>
      </c>
      <c r="E562" s="6"/>
      <c r="F562" s="6"/>
      <c r="G562" s="1" t="s">
        <v>191</v>
      </c>
      <c r="H562" s="2">
        <v>80886</v>
      </c>
      <c r="I562" s="7">
        <v>2</v>
      </c>
      <c r="J562" s="7">
        <v>3</v>
      </c>
      <c r="K562" s="7">
        <v>2</v>
      </c>
      <c r="L562" s="7">
        <v>1</v>
      </c>
      <c r="M562" s="7">
        <v>3</v>
      </c>
      <c r="N562" s="1">
        <f t="shared" si="54"/>
        <v>2</v>
      </c>
      <c r="O562" s="1" t="str">
        <f t="shared" si="52"/>
        <v>Meets Expectations</v>
      </c>
    </row>
    <row r="563" spans="1:15" x14ac:dyDescent="0.55000000000000004">
      <c r="A563" s="3">
        <v>1238911562</v>
      </c>
      <c r="B563" s="1" t="s">
        <v>12</v>
      </c>
      <c r="C563" s="6">
        <v>33986</v>
      </c>
      <c r="D563" s="6">
        <v>41088</v>
      </c>
      <c r="E563" s="6"/>
      <c r="F563" s="6"/>
      <c r="G563" s="1" t="s">
        <v>250</v>
      </c>
      <c r="H563" s="2">
        <v>60242</v>
      </c>
      <c r="I563" s="7">
        <v>3</v>
      </c>
      <c r="J563" s="7">
        <v>1</v>
      </c>
      <c r="K563" s="7">
        <v>2</v>
      </c>
      <c r="L563" s="7">
        <v>2</v>
      </c>
      <c r="M563" s="7">
        <v>1</v>
      </c>
      <c r="N563" s="1">
        <f t="shared" si="54"/>
        <v>2</v>
      </c>
      <c r="O563" s="1" t="str">
        <f t="shared" si="52"/>
        <v>Meets Expectations</v>
      </c>
    </row>
    <row r="564" spans="1:15" x14ac:dyDescent="0.55000000000000004">
      <c r="A564" s="3">
        <v>1238911563</v>
      </c>
      <c r="B564" s="1" t="s">
        <v>12</v>
      </c>
      <c r="C564" s="6">
        <v>34084</v>
      </c>
      <c r="D564" s="6">
        <v>42424</v>
      </c>
      <c r="E564" s="6">
        <v>45217</v>
      </c>
      <c r="F564" s="6"/>
      <c r="G564" s="1" t="s">
        <v>251</v>
      </c>
      <c r="H564" s="2">
        <v>51064</v>
      </c>
      <c r="I564" s="7">
        <v>3</v>
      </c>
      <c r="J564" s="7">
        <v>1</v>
      </c>
      <c r="K564" s="7">
        <v>2</v>
      </c>
      <c r="L564" s="7">
        <v>2</v>
      </c>
      <c r="M564" s="7">
        <v>3</v>
      </c>
      <c r="N564" s="1">
        <f t="shared" si="54"/>
        <v>2</v>
      </c>
      <c r="O564" s="1" t="str">
        <f t="shared" si="52"/>
        <v>Meets Expectations</v>
      </c>
    </row>
    <row r="565" spans="1:15" x14ac:dyDescent="0.55000000000000004">
      <c r="A565" s="3">
        <v>1238911564</v>
      </c>
      <c r="B565" s="1" t="s">
        <v>14</v>
      </c>
      <c r="C565" s="6">
        <v>34094</v>
      </c>
      <c r="D565" s="6">
        <v>44014</v>
      </c>
      <c r="E565" s="6"/>
      <c r="F565" s="6"/>
      <c r="G565" s="1" t="s">
        <v>216</v>
      </c>
      <c r="H565" s="2">
        <v>67856.25</v>
      </c>
      <c r="I565" s="7">
        <v>1</v>
      </c>
      <c r="J565" s="7">
        <v>3</v>
      </c>
      <c r="K565" s="7">
        <v>3</v>
      </c>
      <c r="L565" s="7">
        <v>2</v>
      </c>
      <c r="M565" s="7">
        <v>3</v>
      </c>
      <c r="N565" s="1">
        <f t="shared" si="54"/>
        <v>2</v>
      </c>
      <c r="O565" s="1" t="str">
        <f t="shared" si="52"/>
        <v>Meets Expectations</v>
      </c>
    </row>
    <row r="566" spans="1:15" x14ac:dyDescent="0.55000000000000004">
      <c r="A566" s="3">
        <v>1238911565</v>
      </c>
      <c r="B566" s="1" t="s">
        <v>14</v>
      </c>
      <c r="C566" s="6">
        <v>34099</v>
      </c>
      <c r="D566" s="6">
        <v>43473</v>
      </c>
      <c r="E566" s="6">
        <v>45189</v>
      </c>
      <c r="F566" s="6"/>
      <c r="G566" s="1" t="s">
        <v>252</v>
      </c>
      <c r="H566" s="2">
        <v>61204</v>
      </c>
      <c r="I566" s="7">
        <v>3</v>
      </c>
      <c r="J566" s="7">
        <v>3</v>
      </c>
      <c r="K566" s="7">
        <v>2</v>
      </c>
      <c r="L566" s="7">
        <v>3</v>
      </c>
      <c r="M566" s="7">
        <v>2</v>
      </c>
      <c r="N566" s="1">
        <f t="shared" si="54"/>
        <v>3</v>
      </c>
      <c r="O566" s="1" t="str">
        <f t="shared" si="52"/>
        <v>Exceeds Expectations</v>
      </c>
    </row>
    <row r="567" spans="1:15" x14ac:dyDescent="0.55000000000000004">
      <c r="A567" s="3">
        <v>1238911566</v>
      </c>
      <c r="B567" s="1" t="s">
        <v>12</v>
      </c>
      <c r="C567" s="6">
        <v>34109</v>
      </c>
      <c r="D567" s="6">
        <v>44178</v>
      </c>
      <c r="E567" s="6"/>
      <c r="F567" s="6"/>
      <c r="G567" s="1" t="s">
        <v>136</v>
      </c>
      <c r="H567" s="2">
        <v>87500</v>
      </c>
      <c r="I567" s="7">
        <v>2</v>
      </c>
      <c r="J567" s="7">
        <v>1</v>
      </c>
      <c r="K567" s="7">
        <v>3</v>
      </c>
      <c r="L567" s="7">
        <v>2</v>
      </c>
      <c r="M567" s="7">
        <v>2</v>
      </c>
      <c r="N567" s="1">
        <f t="shared" si="54"/>
        <v>2</v>
      </c>
      <c r="O567" s="1" t="str">
        <f t="shared" si="52"/>
        <v>Meets Expectations</v>
      </c>
    </row>
    <row r="568" spans="1:15" x14ac:dyDescent="0.55000000000000004">
      <c r="A568" s="3">
        <v>1238911567</v>
      </c>
      <c r="B568" s="1" t="s">
        <v>12</v>
      </c>
      <c r="C568" s="6">
        <v>34136</v>
      </c>
      <c r="D568" s="6">
        <v>43697</v>
      </c>
      <c r="E568" s="6">
        <v>45756</v>
      </c>
      <c r="F568" s="6"/>
      <c r="G568" s="1" t="s">
        <v>136</v>
      </c>
      <c r="H568" s="2">
        <v>90000</v>
      </c>
      <c r="I568" s="7">
        <v>3</v>
      </c>
      <c r="J568" s="7">
        <v>1</v>
      </c>
      <c r="K568" s="7">
        <v>3</v>
      </c>
      <c r="L568" s="7">
        <v>2</v>
      </c>
      <c r="M568" s="7">
        <v>2</v>
      </c>
      <c r="N568" s="1">
        <f t="shared" si="54"/>
        <v>2</v>
      </c>
      <c r="O568" s="1" t="str">
        <f t="shared" si="52"/>
        <v>Meets Expectations</v>
      </c>
    </row>
    <row r="569" spans="1:15" x14ac:dyDescent="0.55000000000000004">
      <c r="A569" s="3">
        <v>1238911568</v>
      </c>
      <c r="B569" s="1" t="s">
        <v>14</v>
      </c>
      <c r="C569" s="6">
        <v>34140</v>
      </c>
      <c r="D569" s="6">
        <v>44741</v>
      </c>
      <c r="E569" s="6"/>
      <c r="F569" s="6"/>
      <c r="G569" s="1" t="s">
        <v>253</v>
      </c>
      <c r="H569" s="2">
        <v>75237.5</v>
      </c>
      <c r="I569" s="7">
        <v>3</v>
      </c>
      <c r="J569" s="7">
        <v>1</v>
      </c>
      <c r="K569" s="7">
        <v>1</v>
      </c>
      <c r="L569" s="7">
        <v>2</v>
      </c>
      <c r="M569" s="7">
        <v>2</v>
      </c>
      <c r="N569" s="1">
        <f t="shared" si="54"/>
        <v>2</v>
      </c>
      <c r="O569" s="1" t="str">
        <f t="shared" si="52"/>
        <v>Meets Expectations</v>
      </c>
    </row>
    <row r="570" spans="1:15" x14ac:dyDescent="0.55000000000000004">
      <c r="A570" s="3">
        <v>1238911569</v>
      </c>
      <c r="B570" s="1" t="s">
        <v>14</v>
      </c>
      <c r="C570" s="6">
        <v>34146</v>
      </c>
      <c r="D570" s="6">
        <v>44496</v>
      </c>
      <c r="E570" s="6"/>
      <c r="F570" s="6"/>
      <c r="G570" s="1" t="s">
        <v>254</v>
      </c>
      <c r="H570" s="2">
        <v>56250</v>
      </c>
      <c r="I570" s="7">
        <v>2</v>
      </c>
      <c r="J570" s="7">
        <v>3</v>
      </c>
      <c r="K570" s="7">
        <v>3</v>
      </c>
      <c r="L570" s="7">
        <v>1</v>
      </c>
      <c r="M570" s="7">
        <v>3</v>
      </c>
      <c r="N570" s="1">
        <f t="shared" si="54"/>
        <v>2</v>
      </c>
      <c r="O570" s="1" t="str">
        <f t="shared" si="52"/>
        <v>Meets Expectations</v>
      </c>
    </row>
    <row r="571" spans="1:15" x14ac:dyDescent="0.55000000000000004">
      <c r="A571" s="3">
        <v>1238911570</v>
      </c>
      <c r="B571" s="1" t="s">
        <v>12</v>
      </c>
      <c r="C571" s="6">
        <v>34170</v>
      </c>
      <c r="D571" s="6">
        <v>42144</v>
      </c>
      <c r="E571" s="6"/>
      <c r="F571" s="6"/>
      <c r="G571" s="1" t="s">
        <v>74</v>
      </c>
      <c r="H571" s="2">
        <v>50239.95</v>
      </c>
      <c r="I571" s="7">
        <v>3</v>
      </c>
      <c r="J571" s="7">
        <v>2</v>
      </c>
      <c r="K571" s="7">
        <v>1</v>
      </c>
      <c r="L571" s="7">
        <v>1</v>
      </c>
      <c r="M571" s="7">
        <v>3</v>
      </c>
      <c r="N571" s="1">
        <f t="shared" si="54"/>
        <v>2</v>
      </c>
      <c r="O571" s="1" t="str">
        <f t="shared" si="52"/>
        <v>Meets Expectations</v>
      </c>
    </row>
    <row r="572" spans="1:15" x14ac:dyDescent="0.55000000000000004">
      <c r="A572" s="3">
        <v>1238911571</v>
      </c>
      <c r="B572" s="1" t="s">
        <v>14</v>
      </c>
      <c r="C572" s="6">
        <v>34178</v>
      </c>
      <c r="D572" s="6">
        <v>42251</v>
      </c>
      <c r="E572" s="6"/>
      <c r="F572" s="6"/>
      <c r="G572" s="1" t="s">
        <v>63</v>
      </c>
      <c r="H572" s="2">
        <v>87500</v>
      </c>
      <c r="I572" s="7">
        <v>3</v>
      </c>
      <c r="J572" s="7">
        <v>2</v>
      </c>
      <c r="K572" s="7">
        <v>3</v>
      </c>
      <c r="L572" s="7">
        <v>3</v>
      </c>
      <c r="M572" s="7">
        <v>3</v>
      </c>
      <c r="N572" s="1">
        <f t="shared" si="54"/>
        <v>3</v>
      </c>
      <c r="O572" s="1" t="str">
        <f t="shared" si="52"/>
        <v>Exceeds Expectations</v>
      </c>
    </row>
    <row r="573" spans="1:15" x14ac:dyDescent="0.55000000000000004">
      <c r="A573" s="3">
        <v>1238911572</v>
      </c>
      <c r="B573" s="1" t="s">
        <v>14</v>
      </c>
      <c r="C573" s="6">
        <v>34181</v>
      </c>
      <c r="D573" s="6">
        <v>44965</v>
      </c>
      <c r="E573" s="6"/>
      <c r="F573" s="6"/>
      <c r="G573" s="1" t="s">
        <v>255</v>
      </c>
      <c r="H573" s="2">
        <v>68750</v>
      </c>
      <c r="I573" s="7">
        <v>3</v>
      </c>
      <c r="J573" s="7">
        <v>1</v>
      </c>
      <c r="K573" s="7">
        <v>2</v>
      </c>
      <c r="L573" s="7">
        <v>3</v>
      </c>
      <c r="M573" s="7">
        <v>3</v>
      </c>
      <c r="N573" s="1">
        <f t="shared" si="54"/>
        <v>2</v>
      </c>
      <c r="O573" s="1" t="str">
        <f t="shared" si="52"/>
        <v>Meets Expectations</v>
      </c>
    </row>
    <row r="574" spans="1:15" x14ac:dyDescent="0.55000000000000004">
      <c r="A574" s="3">
        <v>1238911573</v>
      </c>
      <c r="B574" s="1" t="s">
        <v>12</v>
      </c>
      <c r="C574" s="6">
        <v>34195</v>
      </c>
      <c r="D574" s="6">
        <v>43188</v>
      </c>
      <c r="E574" s="6"/>
      <c r="F574" s="6"/>
      <c r="G574" s="1" t="s">
        <v>256</v>
      </c>
      <c r="H574" s="2">
        <v>107000.075</v>
      </c>
      <c r="I574" s="7">
        <v>2</v>
      </c>
      <c r="J574" s="7">
        <v>2</v>
      </c>
      <c r="K574" s="7">
        <v>3</v>
      </c>
      <c r="L574" s="7">
        <v>2</v>
      </c>
      <c r="M574" s="7">
        <v>3</v>
      </c>
      <c r="N574" s="1">
        <f t="shared" si="54"/>
        <v>2</v>
      </c>
      <c r="O574" s="1" t="str">
        <f t="shared" si="52"/>
        <v>Meets Expectations</v>
      </c>
    </row>
    <row r="575" spans="1:15" x14ac:dyDescent="0.55000000000000004">
      <c r="A575" s="3">
        <v>1238911574</v>
      </c>
      <c r="B575" s="1" t="s">
        <v>12</v>
      </c>
      <c r="C575" s="6">
        <v>34249</v>
      </c>
      <c r="D575" s="6">
        <v>41539</v>
      </c>
      <c r="E575" s="6"/>
      <c r="F575" s="6"/>
      <c r="G575" s="1" t="s">
        <v>257</v>
      </c>
      <c r="H575" s="2">
        <v>90000</v>
      </c>
      <c r="I575" s="7">
        <v>1</v>
      </c>
      <c r="J575" s="7">
        <v>2</v>
      </c>
      <c r="K575" s="7">
        <v>2</v>
      </c>
      <c r="L575" s="7">
        <v>2</v>
      </c>
      <c r="M575" s="7">
        <v>3</v>
      </c>
      <c r="N575" s="1">
        <f t="shared" si="54"/>
        <v>2</v>
      </c>
      <c r="O575" s="1" t="str">
        <f t="shared" si="52"/>
        <v>Meets Expectations</v>
      </c>
    </row>
    <row r="576" spans="1:15" x14ac:dyDescent="0.55000000000000004">
      <c r="A576" s="3">
        <v>1238911575</v>
      </c>
      <c r="B576" s="1" t="s">
        <v>12</v>
      </c>
      <c r="C576" s="6">
        <v>34259</v>
      </c>
      <c r="D576" s="6">
        <v>41952</v>
      </c>
      <c r="E576" s="6"/>
      <c r="F576" s="6"/>
      <c r="G576" s="1" t="s">
        <v>258</v>
      </c>
      <c r="H576" s="2">
        <v>91428.75</v>
      </c>
      <c r="I576" s="7">
        <v>3</v>
      </c>
      <c r="J576" s="7">
        <v>2</v>
      </c>
      <c r="K576" s="7">
        <v>2</v>
      </c>
      <c r="L576" s="7">
        <v>3</v>
      </c>
      <c r="M576" s="7">
        <v>1</v>
      </c>
      <c r="N576" s="1">
        <f t="shared" si="54"/>
        <v>2</v>
      </c>
      <c r="O576" s="1" t="str">
        <f t="shared" si="52"/>
        <v>Meets Expectations</v>
      </c>
    </row>
    <row r="577" spans="1:15" x14ac:dyDescent="0.55000000000000004">
      <c r="A577" s="3">
        <v>1238911576</v>
      </c>
      <c r="B577" s="1" t="s">
        <v>12</v>
      </c>
      <c r="C577" s="6">
        <v>34263</v>
      </c>
      <c r="D577" s="6">
        <v>43898</v>
      </c>
      <c r="E577" s="6"/>
      <c r="F577" s="6"/>
      <c r="G577" s="1" t="s">
        <v>157</v>
      </c>
      <c r="H577" s="2">
        <v>90012.5</v>
      </c>
      <c r="I577" s="7">
        <v>2</v>
      </c>
      <c r="J577" s="7">
        <v>2</v>
      </c>
      <c r="K577" s="7">
        <v>2</v>
      </c>
      <c r="L577" s="7">
        <v>2</v>
      </c>
      <c r="M577" s="7">
        <v>2</v>
      </c>
      <c r="N577" s="1">
        <f t="shared" si="54"/>
        <v>2</v>
      </c>
      <c r="O577" s="1" t="str">
        <f t="shared" si="52"/>
        <v>Meets Expectations</v>
      </c>
    </row>
    <row r="578" spans="1:15" x14ac:dyDescent="0.55000000000000004">
      <c r="A578" s="3">
        <v>1238911577</v>
      </c>
      <c r="B578" s="1" t="s">
        <v>14</v>
      </c>
      <c r="C578" s="6">
        <v>34265</v>
      </c>
      <c r="D578" s="6">
        <v>42487</v>
      </c>
      <c r="E578" s="6"/>
      <c r="F578" s="6"/>
      <c r="G578" s="1" t="s">
        <v>63</v>
      </c>
      <c r="H578" s="2">
        <v>73992.100000000006</v>
      </c>
      <c r="I578" s="7">
        <v>2</v>
      </c>
      <c r="J578" s="7">
        <v>2</v>
      </c>
      <c r="K578" s="7">
        <v>2</v>
      </c>
      <c r="L578" s="7">
        <v>3</v>
      </c>
      <c r="M578" s="7">
        <v>3</v>
      </c>
      <c r="N578" s="1">
        <f t="shared" si="54"/>
        <v>2</v>
      </c>
      <c r="O578" s="1" t="str">
        <f t="shared" si="52"/>
        <v>Meets Expectations</v>
      </c>
    </row>
    <row r="579" spans="1:15" x14ac:dyDescent="0.55000000000000004">
      <c r="A579" s="3">
        <v>1238911578</v>
      </c>
      <c r="B579" s="1" t="s">
        <v>14</v>
      </c>
      <c r="C579" s="6">
        <v>34284</v>
      </c>
      <c r="D579" s="6">
        <v>42648</v>
      </c>
      <c r="E579" s="6"/>
      <c r="F579" s="15" t="str">
        <f t="shared" ref="F579:F580" ca="1" si="57">IF(E579="",DATEDIF(D579,TODAY(),"y")&amp; "Years" &amp;DATEDIF(D579,TODAY(),"ym")&amp; "Months"&amp;DATEDIF(D579,TODAY(),"md") &amp;"Days",DATEDIF(D579,E579,"y")&amp; "Years" &amp;DATEDIF(D579,E579,"ym")&amp; "Months"&amp;DATEDIF(D579,E579,"md") &amp;"Days")</f>
        <v>9Years7Months8Days</v>
      </c>
      <c r="G579" s="1" t="s">
        <v>96</v>
      </c>
      <c r="H579" s="2">
        <v>41366</v>
      </c>
      <c r="I579" s="7">
        <v>1</v>
      </c>
      <c r="J579" s="7">
        <v>1</v>
      </c>
      <c r="K579" s="7">
        <v>1</v>
      </c>
      <c r="L579" s="7">
        <v>3</v>
      </c>
      <c r="M579" s="7">
        <v>1</v>
      </c>
      <c r="N579" s="1">
        <f t="shared" si="54"/>
        <v>1</v>
      </c>
      <c r="O579" s="1" t="str">
        <f t="shared" si="52"/>
        <v>Below Expectations</v>
      </c>
    </row>
    <row r="580" spans="1:15" x14ac:dyDescent="0.55000000000000004">
      <c r="A580" s="3">
        <v>1238911579</v>
      </c>
      <c r="B580" s="1" t="s">
        <v>14</v>
      </c>
      <c r="C580" s="6">
        <v>34131</v>
      </c>
      <c r="D580" s="6">
        <v>41309</v>
      </c>
      <c r="E580" s="6"/>
      <c r="F580" s="15" t="str">
        <f t="shared" ca="1" si="57"/>
        <v>13Years3Months9Days</v>
      </c>
      <c r="G580" s="1" t="s">
        <v>96</v>
      </c>
      <c r="H580" s="2">
        <v>41366</v>
      </c>
      <c r="I580" s="7">
        <v>3</v>
      </c>
      <c r="J580" s="7">
        <v>1</v>
      </c>
      <c r="K580" s="7">
        <v>3</v>
      </c>
      <c r="L580" s="7">
        <v>2</v>
      </c>
      <c r="M580" s="7">
        <v>3</v>
      </c>
      <c r="N580" s="1">
        <f t="shared" si="54"/>
        <v>2</v>
      </c>
      <c r="O580" s="1" t="str">
        <f t="shared" ref="O580:O643" si="58">IF(N580=1,"Below Expectations",IF(N580=2,"Meets Expectations","Exceeds Expectations"))</f>
        <v>Meets Expectations</v>
      </c>
    </row>
    <row r="581" spans="1:15" x14ac:dyDescent="0.55000000000000004">
      <c r="A581" s="3">
        <v>1238911580</v>
      </c>
      <c r="B581" s="1" t="s">
        <v>12</v>
      </c>
      <c r="C581" s="6">
        <v>34288</v>
      </c>
      <c r="D581" s="6">
        <v>43740</v>
      </c>
      <c r="E581" s="6"/>
      <c r="F581" s="6"/>
      <c r="G581" s="1" t="s">
        <v>68</v>
      </c>
      <c r="H581" s="2">
        <v>63201.25</v>
      </c>
      <c r="I581" s="7">
        <v>1</v>
      </c>
      <c r="J581" s="7">
        <v>3</v>
      </c>
      <c r="K581" s="7">
        <v>2</v>
      </c>
      <c r="L581" s="7">
        <v>1</v>
      </c>
      <c r="M581" s="7">
        <v>2</v>
      </c>
      <c r="N581" s="1">
        <f t="shared" si="54"/>
        <v>2</v>
      </c>
      <c r="O581" s="1" t="str">
        <f t="shared" si="58"/>
        <v>Meets Expectations</v>
      </c>
    </row>
    <row r="582" spans="1:15" x14ac:dyDescent="0.55000000000000004">
      <c r="A582" s="3">
        <v>1238911581</v>
      </c>
      <c r="B582" s="1" t="s">
        <v>14</v>
      </c>
      <c r="C582" s="6">
        <v>33993</v>
      </c>
      <c r="D582" s="6">
        <v>42403</v>
      </c>
      <c r="E582" s="6"/>
      <c r="F582" s="15" t="str">
        <f ca="1">IF(E582="",DATEDIF(D582,TODAY(),"y")&amp; "Years" &amp;DATEDIF(D582,TODAY(),"ym")&amp; "Months"&amp;DATEDIF(D582,TODAY(),"md") &amp;"Days",DATEDIF(D582,E582,"y")&amp; "Years" &amp;DATEDIF(D582,E582,"ym")&amp; "Months"&amp;DATEDIF(D582,E582,"md") &amp;"Days")</f>
        <v>10Years3Months10Days</v>
      </c>
      <c r="G582" s="1" t="s">
        <v>65</v>
      </c>
      <c r="H582" s="2">
        <v>39000</v>
      </c>
      <c r="I582" s="7">
        <v>3</v>
      </c>
      <c r="J582" s="7">
        <v>2</v>
      </c>
      <c r="K582" s="7">
        <v>1</v>
      </c>
      <c r="L582" s="7">
        <v>3</v>
      </c>
      <c r="M582" s="7">
        <v>2</v>
      </c>
      <c r="N582" s="1">
        <f t="shared" si="54"/>
        <v>2</v>
      </c>
      <c r="O582" s="1" t="str">
        <f t="shared" si="58"/>
        <v>Meets Expectations</v>
      </c>
    </row>
    <row r="583" spans="1:15" x14ac:dyDescent="0.55000000000000004">
      <c r="A583" s="3">
        <v>1238911582</v>
      </c>
      <c r="B583" s="1" t="s">
        <v>12</v>
      </c>
      <c r="C583" s="6">
        <v>34351</v>
      </c>
      <c r="D583" s="6">
        <v>42162</v>
      </c>
      <c r="E583" s="6"/>
      <c r="F583" s="6"/>
      <c r="G583" s="1" t="s">
        <v>259</v>
      </c>
      <c r="H583" s="2">
        <v>50076</v>
      </c>
      <c r="I583" s="7">
        <v>1</v>
      </c>
      <c r="J583" s="7">
        <v>3</v>
      </c>
      <c r="K583" s="7">
        <v>2</v>
      </c>
      <c r="L583" s="7">
        <v>2</v>
      </c>
      <c r="M583" s="7">
        <v>3</v>
      </c>
      <c r="N583" s="1">
        <f t="shared" si="54"/>
        <v>2</v>
      </c>
      <c r="O583" s="1" t="str">
        <f t="shared" si="58"/>
        <v>Meets Expectations</v>
      </c>
    </row>
    <row r="584" spans="1:15" x14ac:dyDescent="0.55000000000000004">
      <c r="A584" s="3">
        <v>1238911583</v>
      </c>
      <c r="B584" s="1" t="s">
        <v>12</v>
      </c>
      <c r="C584" s="6">
        <v>34356</v>
      </c>
      <c r="D584" s="6">
        <v>41976</v>
      </c>
      <c r="E584" s="6"/>
      <c r="F584" s="6"/>
      <c r="G584" s="1" t="s">
        <v>260</v>
      </c>
      <c r="H584" s="2">
        <v>48698</v>
      </c>
      <c r="I584" s="7">
        <v>1</v>
      </c>
      <c r="J584" s="7">
        <v>2</v>
      </c>
      <c r="K584" s="7">
        <v>3</v>
      </c>
      <c r="L584" s="7">
        <v>1</v>
      </c>
      <c r="M584" s="7">
        <v>1</v>
      </c>
      <c r="N584" s="1">
        <f t="shared" ref="N584:N647" si="59">ROUND(AVERAGE(I584:M584),0)</f>
        <v>2</v>
      </c>
      <c r="O584" s="1" t="str">
        <f t="shared" si="58"/>
        <v>Meets Expectations</v>
      </c>
    </row>
    <row r="585" spans="1:15" x14ac:dyDescent="0.55000000000000004">
      <c r="A585" s="3">
        <v>1238911584</v>
      </c>
      <c r="B585" s="1" t="s">
        <v>12</v>
      </c>
      <c r="C585" s="6">
        <v>34364</v>
      </c>
      <c r="D585" s="6">
        <v>44650</v>
      </c>
      <c r="E585" s="6"/>
      <c r="F585" s="6"/>
      <c r="G585" s="1" t="s">
        <v>63</v>
      </c>
      <c r="H585" s="2">
        <v>75000</v>
      </c>
      <c r="I585" s="7">
        <v>2</v>
      </c>
      <c r="J585" s="7">
        <v>3</v>
      </c>
      <c r="K585" s="7">
        <v>3</v>
      </c>
      <c r="L585" s="7">
        <v>2</v>
      </c>
      <c r="M585" s="7">
        <v>1</v>
      </c>
      <c r="N585" s="1">
        <f t="shared" si="59"/>
        <v>2</v>
      </c>
      <c r="O585" s="1" t="str">
        <f t="shared" si="58"/>
        <v>Meets Expectations</v>
      </c>
    </row>
    <row r="586" spans="1:15" x14ac:dyDescent="0.55000000000000004">
      <c r="A586" s="3">
        <v>1238911585</v>
      </c>
      <c r="B586" s="1" t="s">
        <v>12</v>
      </c>
      <c r="C586" s="6">
        <v>34426</v>
      </c>
      <c r="D586" s="6">
        <v>43041</v>
      </c>
      <c r="E586" s="6"/>
      <c r="F586" s="6"/>
      <c r="G586" s="1" t="s">
        <v>261</v>
      </c>
      <c r="H586" s="2">
        <v>70746</v>
      </c>
      <c r="I586" s="7">
        <v>1</v>
      </c>
      <c r="J586" s="7">
        <v>3</v>
      </c>
      <c r="K586" s="7">
        <v>3</v>
      </c>
      <c r="L586" s="7">
        <v>2</v>
      </c>
      <c r="M586" s="7">
        <v>3</v>
      </c>
      <c r="N586" s="1">
        <f t="shared" si="59"/>
        <v>2</v>
      </c>
      <c r="O586" s="1" t="str">
        <f t="shared" si="58"/>
        <v>Meets Expectations</v>
      </c>
    </row>
    <row r="587" spans="1:15" x14ac:dyDescent="0.55000000000000004">
      <c r="A587" s="3">
        <v>1238911586</v>
      </c>
      <c r="B587" s="1" t="s">
        <v>12</v>
      </c>
      <c r="C587" s="6">
        <v>34374</v>
      </c>
      <c r="D587" s="6">
        <v>42494</v>
      </c>
      <c r="E587" s="6"/>
      <c r="F587" s="6"/>
      <c r="G587" s="1" t="s">
        <v>262</v>
      </c>
      <c r="H587" s="2">
        <v>62773.100000000006</v>
      </c>
      <c r="I587" s="7">
        <v>3</v>
      </c>
      <c r="J587" s="7">
        <v>3</v>
      </c>
      <c r="K587" s="7">
        <v>3</v>
      </c>
      <c r="L587" s="7">
        <v>1</v>
      </c>
      <c r="M587" s="7">
        <v>1</v>
      </c>
      <c r="N587" s="1">
        <f t="shared" si="59"/>
        <v>2</v>
      </c>
      <c r="O587" s="1" t="str">
        <f t="shared" si="58"/>
        <v>Meets Expectations</v>
      </c>
    </row>
    <row r="588" spans="1:15" x14ac:dyDescent="0.55000000000000004">
      <c r="A588" s="3">
        <v>1238911587</v>
      </c>
      <c r="B588" s="1" t="s">
        <v>12</v>
      </c>
      <c r="C588" s="6">
        <v>36371</v>
      </c>
      <c r="D588" s="6">
        <v>43225</v>
      </c>
      <c r="E588" s="6"/>
      <c r="F588" s="6"/>
      <c r="G588" s="1" t="s">
        <v>263</v>
      </c>
      <c r="H588" s="2">
        <v>40125</v>
      </c>
      <c r="I588" s="7">
        <v>2</v>
      </c>
      <c r="J588" s="7">
        <v>3</v>
      </c>
      <c r="K588" s="7">
        <v>3</v>
      </c>
      <c r="L588" s="7">
        <v>2</v>
      </c>
      <c r="M588" s="7">
        <v>1</v>
      </c>
      <c r="N588" s="1">
        <f t="shared" si="59"/>
        <v>2</v>
      </c>
      <c r="O588" s="1" t="str">
        <f t="shared" si="58"/>
        <v>Meets Expectations</v>
      </c>
    </row>
    <row r="589" spans="1:15" x14ac:dyDescent="0.55000000000000004">
      <c r="A589" s="3">
        <v>1238911588</v>
      </c>
      <c r="B589" s="1" t="s">
        <v>12</v>
      </c>
      <c r="C589" s="6">
        <v>34394</v>
      </c>
      <c r="D589" s="6">
        <v>43329</v>
      </c>
      <c r="E589" s="6"/>
      <c r="F589" s="6"/>
      <c r="G589" s="1" t="s">
        <v>264</v>
      </c>
      <c r="H589" s="2">
        <v>68750</v>
      </c>
      <c r="I589" s="7">
        <v>1</v>
      </c>
      <c r="J589" s="7">
        <v>3</v>
      </c>
      <c r="K589" s="7">
        <v>1</v>
      </c>
      <c r="L589" s="7">
        <v>3</v>
      </c>
      <c r="M589" s="7">
        <v>3</v>
      </c>
      <c r="N589" s="1">
        <f t="shared" si="59"/>
        <v>2</v>
      </c>
      <c r="O589" s="1" t="str">
        <f t="shared" si="58"/>
        <v>Meets Expectations</v>
      </c>
    </row>
    <row r="590" spans="1:15" x14ac:dyDescent="0.55000000000000004">
      <c r="A590" s="3">
        <v>1238911589</v>
      </c>
      <c r="B590" s="1" t="s">
        <v>12</v>
      </c>
      <c r="C590" s="6">
        <v>34414</v>
      </c>
      <c r="D590" s="6">
        <v>41279</v>
      </c>
      <c r="E590" s="6"/>
      <c r="F590" s="6"/>
      <c r="G590" s="1" t="s">
        <v>134</v>
      </c>
      <c r="H590" s="2">
        <v>59800</v>
      </c>
      <c r="I590" s="7">
        <v>3</v>
      </c>
      <c r="J590" s="7">
        <v>2</v>
      </c>
      <c r="K590" s="7">
        <v>2</v>
      </c>
      <c r="L590" s="7">
        <v>1</v>
      </c>
      <c r="M590" s="7">
        <v>1</v>
      </c>
      <c r="N590" s="1">
        <f t="shared" si="59"/>
        <v>2</v>
      </c>
      <c r="O590" s="1" t="str">
        <f t="shared" si="58"/>
        <v>Meets Expectations</v>
      </c>
    </row>
    <row r="591" spans="1:15" x14ac:dyDescent="0.55000000000000004">
      <c r="A591" s="3">
        <v>1238911590</v>
      </c>
      <c r="B591" s="1" t="s">
        <v>12</v>
      </c>
      <c r="C591" s="6">
        <v>34638</v>
      </c>
      <c r="D591" s="6">
        <v>42529</v>
      </c>
      <c r="E591" s="6"/>
      <c r="F591" s="6"/>
      <c r="G591" s="1" t="s">
        <v>265</v>
      </c>
      <c r="H591" s="2">
        <v>52500</v>
      </c>
      <c r="I591" s="7">
        <v>2</v>
      </c>
      <c r="J591" s="7">
        <v>2</v>
      </c>
      <c r="K591" s="7">
        <v>1</v>
      </c>
      <c r="L591" s="7">
        <v>1</v>
      </c>
      <c r="M591" s="7">
        <v>3</v>
      </c>
      <c r="N591" s="1">
        <f t="shared" si="59"/>
        <v>2</v>
      </c>
      <c r="O591" s="1" t="str">
        <f t="shared" si="58"/>
        <v>Meets Expectations</v>
      </c>
    </row>
    <row r="592" spans="1:15" x14ac:dyDescent="0.55000000000000004">
      <c r="A592" s="3">
        <v>1238911591</v>
      </c>
      <c r="B592" s="1" t="s">
        <v>14</v>
      </c>
      <c r="C592" s="6">
        <v>34421</v>
      </c>
      <c r="D592" s="6">
        <v>41683</v>
      </c>
      <c r="E592" s="6"/>
      <c r="F592" s="6"/>
      <c r="G592" s="1" t="s">
        <v>266</v>
      </c>
      <c r="H592" s="2">
        <v>62998</v>
      </c>
      <c r="I592" s="7">
        <v>1</v>
      </c>
      <c r="J592" s="7">
        <v>1</v>
      </c>
      <c r="K592" s="7">
        <v>2</v>
      </c>
      <c r="L592" s="7">
        <v>2</v>
      </c>
      <c r="M592" s="7">
        <v>3</v>
      </c>
      <c r="N592" s="1">
        <f t="shared" si="59"/>
        <v>2</v>
      </c>
      <c r="O592" s="1" t="str">
        <f t="shared" si="58"/>
        <v>Meets Expectations</v>
      </c>
    </row>
    <row r="593" spans="1:15" x14ac:dyDescent="0.55000000000000004">
      <c r="A593" s="3">
        <v>1238911592</v>
      </c>
      <c r="B593" s="1" t="s">
        <v>12</v>
      </c>
      <c r="C593" s="6">
        <v>34480</v>
      </c>
      <c r="D593" s="6">
        <v>41188</v>
      </c>
      <c r="E593" s="6"/>
      <c r="F593" s="6"/>
      <c r="G593" s="1" t="s">
        <v>205</v>
      </c>
      <c r="H593" s="2">
        <v>62500</v>
      </c>
      <c r="I593" s="7">
        <v>2</v>
      </c>
      <c r="J593" s="7">
        <v>1</v>
      </c>
      <c r="K593" s="7">
        <v>3</v>
      </c>
      <c r="L593" s="7">
        <v>2</v>
      </c>
      <c r="M593" s="7">
        <v>1</v>
      </c>
      <c r="N593" s="1">
        <f t="shared" si="59"/>
        <v>2</v>
      </c>
      <c r="O593" s="1" t="str">
        <f t="shared" si="58"/>
        <v>Meets Expectations</v>
      </c>
    </row>
    <row r="594" spans="1:15" x14ac:dyDescent="0.55000000000000004">
      <c r="A594" s="3">
        <v>1238911593</v>
      </c>
      <c r="B594" s="1" t="s">
        <v>12</v>
      </c>
      <c r="C594" s="6">
        <v>34506</v>
      </c>
      <c r="D594" s="6">
        <v>44191</v>
      </c>
      <c r="E594" s="6"/>
      <c r="F594" s="6"/>
      <c r="G594" s="1" t="s">
        <v>267</v>
      </c>
      <c r="H594" s="2">
        <v>67945.474999999991</v>
      </c>
      <c r="I594" s="7">
        <v>3</v>
      </c>
      <c r="J594" s="7">
        <v>1</v>
      </c>
      <c r="K594" s="7">
        <v>3</v>
      </c>
      <c r="L594" s="7">
        <v>3</v>
      </c>
      <c r="M594" s="7">
        <v>1</v>
      </c>
      <c r="N594" s="1">
        <f t="shared" si="59"/>
        <v>2</v>
      </c>
      <c r="O594" s="1" t="str">
        <f t="shared" si="58"/>
        <v>Meets Expectations</v>
      </c>
    </row>
    <row r="595" spans="1:15" x14ac:dyDescent="0.55000000000000004">
      <c r="A595" s="3">
        <v>1238911594</v>
      </c>
      <c r="B595" s="1" t="s">
        <v>12</v>
      </c>
      <c r="C595" s="6">
        <v>34424</v>
      </c>
      <c r="D595" s="6">
        <v>44211</v>
      </c>
      <c r="E595" s="6"/>
      <c r="F595" s="6"/>
      <c r="G595" s="1" t="s">
        <v>267</v>
      </c>
      <c r="H595" s="2">
        <v>67945.474999999991</v>
      </c>
      <c r="I595" s="7">
        <v>1</v>
      </c>
      <c r="J595" s="7">
        <v>3</v>
      </c>
      <c r="K595" s="7">
        <v>1</v>
      </c>
      <c r="L595" s="7">
        <v>2</v>
      </c>
      <c r="M595" s="7">
        <v>2</v>
      </c>
      <c r="N595" s="1">
        <f t="shared" si="59"/>
        <v>2</v>
      </c>
      <c r="O595" s="1" t="str">
        <f t="shared" si="58"/>
        <v>Meets Expectations</v>
      </c>
    </row>
    <row r="596" spans="1:15" x14ac:dyDescent="0.55000000000000004">
      <c r="A596" s="3">
        <v>1238911595</v>
      </c>
      <c r="B596" s="1" t="s">
        <v>14</v>
      </c>
      <c r="C596" s="6">
        <v>34516</v>
      </c>
      <c r="D596" s="6">
        <v>43000</v>
      </c>
      <c r="E596" s="6"/>
      <c r="F596" s="6"/>
      <c r="G596" s="1" t="s">
        <v>268</v>
      </c>
      <c r="H596" s="2">
        <v>86457.8</v>
      </c>
      <c r="I596" s="7">
        <v>3</v>
      </c>
      <c r="J596" s="7">
        <v>2</v>
      </c>
      <c r="K596" s="7">
        <v>2</v>
      </c>
      <c r="L596" s="7">
        <v>1</v>
      </c>
      <c r="M596" s="7">
        <v>1</v>
      </c>
      <c r="N596" s="1">
        <f t="shared" si="59"/>
        <v>2</v>
      </c>
      <c r="O596" s="1" t="str">
        <f t="shared" si="58"/>
        <v>Meets Expectations</v>
      </c>
    </row>
    <row r="597" spans="1:15" x14ac:dyDescent="0.55000000000000004">
      <c r="A597" s="3">
        <v>1238911596</v>
      </c>
      <c r="B597" s="1" t="s">
        <v>14</v>
      </c>
      <c r="C597" s="6">
        <v>34540</v>
      </c>
      <c r="D597" s="6">
        <v>41216</v>
      </c>
      <c r="E597" s="6"/>
      <c r="F597" s="15" t="str">
        <f t="shared" ref="F597:F598" ca="1" si="60">IF(E597="",DATEDIF(D597,TODAY(),"y")&amp; "Years" &amp;DATEDIF(D597,TODAY(),"ym")&amp; "Months"&amp;DATEDIF(D597,TODAY(),"md") &amp;"Days",DATEDIF(D597,E597,"y")&amp; "Years" &amp;DATEDIF(D597,E597,"ym")&amp; "Months"&amp;DATEDIF(D597,E597,"md") &amp;"Days")</f>
        <v>13Years6Months10Days</v>
      </c>
      <c r="G597" s="1" t="s">
        <v>269</v>
      </c>
      <c r="H597" s="2">
        <v>44200</v>
      </c>
      <c r="I597" s="7">
        <v>3</v>
      </c>
      <c r="J597" s="7">
        <v>1</v>
      </c>
      <c r="K597" s="7">
        <v>3</v>
      </c>
      <c r="L597" s="7">
        <v>1</v>
      </c>
      <c r="M597" s="7">
        <v>1</v>
      </c>
      <c r="N597" s="1">
        <f t="shared" si="59"/>
        <v>2</v>
      </c>
      <c r="O597" s="1" t="str">
        <f t="shared" si="58"/>
        <v>Meets Expectations</v>
      </c>
    </row>
    <row r="598" spans="1:15" x14ac:dyDescent="0.55000000000000004">
      <c r="A598" s="3">
        <v>1238911597</v>
      </c>
      <c r="B598" s="1" t="s">
        <v>14</v>
      </c>
      <c r="C598" s="6">
        <v>34559</v>
      </c>
      <c r="D598" s="6">
        <v>41708</v>
      </c>
      <c r="E598" s="6"/>
      <c r="F598" s="15" t="str">
        <f t="shared" ca="1" si="60"/>
        <v>12Years2Months3Days</v>
      </c>
      <c r="G598" s="1" t="s">
        <v>270</v>
      </c>
      <c r="H598" s="2">
        <v>48735</v>
      </c>
      <c r="I598" s="7">
        <v>3</v>
      </c>
      <c r="J598" s="7">
        <v>3</v>
      </c>
      <c r="K598" s="7">
        <v>1</v>
      </c>
      <c r="L598" s="7">
        <v>1</v>
      </c>
      <c r="M598" s="7">
        <v>3</v>
      </c>
      <c r="N598" s="1">
        <f t="shared" si="59"/>
        <v>2</v>
      </c>
      <c r="O598" s="1" t="str">
        <f t="shared" si="58"/>
        <v>Meets Expectations</v>
      </c>
    </row>
    <row r="599" spans="1:15" x14ac:dyDescent="0.55000000000000004">
      <c r="A599" s="3">
        <v>1238911598</v>
      </c>
      <c r="B599" s="1" t="s">
        <v>12</v>
      </c>
      <c r="C599" s="6">
        <v>34603</v>
      </c>
      <c r="D599" s="6">
        <v>43774</v>
      </c>
      <c r="E599" s="6"/>
      <c r="F599" s="6"/>
      <c r="G599" s="1" t="s">
        <v>271</v>
      </c>
      <c r="H599" s="2">
        <v>96250.049999999988</v>
      </c>
      <c r="I599" s="7">
        <v>1</v>
      </c>
      <c r="J599" s="7">
        <v>2</v>
      </c>
      <c r="K599" s="7">
        <v>3</v>
      </c>
      <c r="L599" s="7">
        <v>1</v>
      </c>
      <c r="M599" s="7">
        <v>3</v>
      </c>
      <c r="N599" s="1">
        <f t="shared" si="59"/>
        <v>2</v>
      </c>
      <c r="O599" s="1" t="str">
        <f t="shared" si="58"/>
        <v>Meets Expectations</v>
      </c>
    </row>
    <row r="600" spans="1:15" x14ac:dyDescent="0.55000000000000004">
      <c r="A600" s="3">
        <v>1238911599</v>
      </c>
      <c r="B600" s="1" t="s">
        <v>12</v>
      </c>
      <c r="C600" s="6">
        <v>34634</v>
      </c>
      <c r="D600" s="6">
        <v>43004</v>
      </c>
      <c r="E600" s="6"/>
      <c r="F600" s="6"/>
      <c r="G600" s="1" t="s">
        <v>134</v>
      </c>
      <c r="H600" s="2">
        <v>56250</v>
      </c>
      <c r="I600" s="7">
        <v>2</v>
      </c>
      <c r="J600" s="7">
        <v>1</v>
      </c>
      <c r="K600" s="7">
        <v>3</v>
      </c>
      <c r="L600" s="7">
        <v>1</v>
      </c>
      <c r="M600" s="7">
        <v>1</v>
      </c>
      <c r="N600" s="1">
        <f t="shared" si="59"/>
        <v>2</v>
      </c>
      <c r="O600" s="1" t="str">
        <f t="shared" si="58"/>
        <v>Meets Expectations</v>
      </c>
    </row>
    <row r="601" spans="1:15" x14ac:dyDescent="0.55000000000000004">
      <c r="A601" s="3">
        <v>1238911600</v>
      </c>
      <c r="B601" s="1" t="s">
        <v>14</v>
      </c>
      <c r="C601" s="6">
        <v>34644</v>
      </c>
      <c r="D601" s="6">
        <v>42569</v>
      </c>
      <c r="E601" s="6"/>
      <c r="F601" s="6"/>
      <c r="G601" s="1" t="s">
        <v>272</v>
      </c>
      <c r="H601" s="2">
        <v>60086</v>
      </c>
      <c r="I601" s="7">
        <v>2</v>
      </c>
      <c r="J601" s="7">
        <v>3</v>
      </c>
      <c r="K601" s="7">
        <v>3</v>
      </c>
      <c r="L601" s="7">
        <v>2</v>
      </c>
      <c r="M601" s="7">
        <v>1</v>
      </c>
      <c r="N601" s="1">
        <f t="shared" si="59"/>
        <v>2</v>
      </c>
      <c r="O601" s="1" t="str">
        <f t="shared" si="58"/>
        <v>Meets Expectations</v>
      </c>
    </row>
    <row r="602" spans="1:15" x14ac:dyDescent="0.55000000000000004">
      <c r="A602" s="3">
        <v>1238911601</v>
      </c>
      <c r="B602" s="1" t="s">
        <v>14</v>
      </c>
      <c r="C602" s="6">
        <v>34647</v>
      </c>
      <c r="D602" s="6">
        <v>41907</v>
      </c>
      <c r="E602" s="6"/>
      <c r="F602" s="6"/>
      <c r="G602" s="1" t="s">
        <v>273</v>
      </c>
      <c r="H602" s="2">
        <v>72386.925000000003</v>
      </c>
      <c r="I602" s="7">
        <v>3</v>
      </c>
      <c r="J602" s="7">
        <v>3</v>
      </c>
      <c r="K602" s="7">
        <v>3</v>
      </c>
      <c r="L602" s="7">
        <v>3</v>
      </c>
      <c r="M602" s="7">
        <v>2</v>
      </c>
      <c r="N602" s="1">
        <f t="shared" si="59"/>
        <v>3</v>
      </c>
      <c r="O602" s="1" t="str">
        <f t="shared" si="58"/>
        <v>Exceeds Expectations</v>
      </c>
    </row>
    <row r="603" spans="1:15" x14ac:dyDescent="0.55000000000000004">
      <c r="A603" s="3">
        <v>1238911602</v>
      </c>
      <c r="B603" s="1" t="s">
        <v>14</v>
      </c>
      <c r="C603" s="6">
        <v>34662</v>
      </c>
      <c r="D603" s="6">
        <v>42011</v>
      </c>
      <c r="E603" s="6">
        <v>45580</v>
      </c>
      <c r="F603" s="15" t="str">
        <f ca="1">IF(E603="",DATEDIF(D603,TODAY(),"y")&amp; "Years" &amp;DATEDIF(D603,TODAY(),"ym")&amp; "Months"&amp;DATEDIF(D603,TODAY(),"md") &amp;"Days",DATEDIF(D603,E603,"y")&amp; "Years" &amp;DATEDIF(D603,E603,"ym")&amp; "Months"&amp;DATEDIF(D603,E603,"md") &amp;"Days")</f>
        <v>9Years9Months8Days</v>
      </c>
      <c r="G603" s="1" t="s">
        <v>274</v>
      </c>
      <c r="H603" s="2">
        <v>45214</v>
      </c>
      <c r="I603" s="7">
        <v>3</v>
      </c>
      <c r="J603" s="7">
        <v>3</v>
      </c>
      <c r="K603" s="7">
        <v>3</v>
      </c>
      <c r="L603" s="7">
        <v>2</v>
      </c>
      <c r="M603" s="7">
        <v>3</v>
      </c>
      <c r="N603" s="1">
        <f t="shared" si="59"/>
        <v>3</v>
      </c>
      <c r="O603" s="1" t="str">
        <f t="shared" si="58"/>
        <v>Exceeds Expectations</v>
      </c>
    </row>
    <row r="604" spans="1:15" x14ac:dyDescent="0.55000000000000004">
      <c r="A604" s="3">
        <v>1238911603</v>
      </c>
      <c r="B604" s="1" t="s">
        <v>12</v>
      </c>
      <c r="C604" s="6">
        <v>34690</v>
      </c>
      <c r="D604" s="6">
        <v>41288</v>
      </c>
      <c r="E604" s="6"/>
      <c r="F604" s="6"/>
      <c r="G604" s="1" t="s">
        <v>138</v>
      </c>
      <c r="H604" s="2">
        <v>83187.649999999994</v>
      </c>
      <c r="I604" s="7">
        <v>1</v>
      </c>
      <c r="J604" s="7">
        <v>2</v>
      </c>
      <c r="K604" s="7">
        <v>2</v>
      </c>
      <c r="L604" s="7">
        <v>3</v>
      </c>
      <c r="M604" s="7">
        <v>3</v>
      </c>
      <c r="N604" s="1">
        <f t="shared" si="59"/>
        <v>2</v>
      </c>
      <c r="O604" s="1" t="str">
        <f t="shared" si="58"/>
        <v>Meets Expectations</v>
      </c>
    </row>
    <row r="605" spans="1:15" x14ac:dyDescent="0.55000000000000004">
      <c r="A605" s="3">
        <v>1238911604</v>
      </c>
      <c r="B605" s="1" t="s">
        <v>12</v>
      </c>
      <c r="C605" s="6">
        <v>34702</v>
      </c>
      <c r="D605" s="6">
        <v>42822</v>
      </c>
      <c r="E605" s="6">
        <v>45784</v>
      </c>
      <c r="F605" s="6"/>
      <c r="G605" s="1" t="s">
        <v>189</v>
      </c>
      <c r="H605" s="2">
        <v>52000</v>
      </c>
      <c r="I605" s="7">
        <v>1</v>
      </c>
      <c r="J605" s="7">
        <v>3</v>
      </c>
      <c r="K605" s="7">
        <v>1</v>
      </c>
      <c r="L605" s="7">
        <v>2</v>
      </c>
      <c r="M605" s="7">
        <v>1</v>
      </c>
      <c r="N605" s="1">
        <f t="shared" si="59"/>
        <v>2</v>
      </c>
      <c r="O605" s="1" t="str">
        <f t="shared" si="58"/>
        <v>Meets Expectations</v>
      </c>
    </row>
    <row r="606" spans="1:15" x14ac:dyDescent="0.55000000000000004">
      <c r="A606" s="3">
        <v>1238911605</v>
      </c>
      <c r="B606" s="1" t="s">
        <v>12</v>
      </c>
      <c r="C606" s="6">
        <v>34717</v>
      </c>
      <c r="D606" s="6">
        <v>42165</v>
      </c>
      <c r="E606" s="6"/>
      <c r="F606" s="6"/>
      <c r="G606" s="1" t="s">
        <v>44</v>
      </c>
      <c r="H606" s="2">
        <v>35100</v>
      </c>
      <c r="I606" s="7">
        <v>3</v>
      </c>
      <c r="J606" s="7">
        <v>2</v>
      </c>
      <c r="K606" s="7">
        <v>3</v>
      </c>
      <c r="L606" s="7">
        <v>3</v>
      </c>
      <c r="M606" s="7">
        <v>3</v>
      </c>
      <c r="N606" s="1">
        <f t="shared" si="59"/>
        <v>3</v>
      </c>
      <c r="O606" s="1" t="str">
        <f t="shared" si="58"/>
        <v>Exceeds Expectations</v>
      </c>
    </row>
    <row r="607" spans="1:15" x14ac:dyDescent="0.55000000000000004">
      <c r="A607" s="3">
        <v>1238911606</v>
      </c>
      <c r="B607" s="1" t="s">
        <v>12</v>
      </c>
      <c r="C607" s="6">
        <v>34729</v>
      </c>
      <c r="D607" s="6">
        <v>41737</v>
      </c>
      <c r="E607" s="6"/>
      <c r="F607" s="6"/>
      <c r="G607" s="1" t="s">
        <v>275</v>
      </c>
      <c r="H607" s="2">
        <v>78950</v>
      </c>
      <c r="I607" s="7">
        <v>3</v>
      </c>
      <c r="J607" s="7">
        <v>1</v>
      </c>
      <c r="K607" s="7">
        <v>3</v>
      </c>
      <c r="L607" s="7">
        <v>1</v>
      </c>
      <c r="M607" s="7">
        <v>2</v>
      </c>
      <c r="N607" s="1">
        <f t="shared" si="59"/>
        <v>2</v>
      </c>
      <c r="O607" s="1" t="str">
        <f t="shared" si="58"/>
        <v>Meets Expectations</v>
      </c>
    </row>
    <row r="608" spans="1:15" x14ac:dyDescent="0.55000000000000004">
      <c r="A608" s="3">
        <v>1238911607</v>
      </c>
      <c r="B608" s="1" t="s">
        <v>14</v>
      </c>
      <c r="C608" s="6">
        <v>34733</v>
      </c>
      <c r="D608" s="6">
        <v>43970</v>
      </c>
      <c r="E608" s="6">
        <v>44680</v>
      </c>
      <c r="F608" s="6"/>
      <c r="G608" s="1" t="s">
        <v>276</v>
      </c>
      <c r="H608" s="2">
        <v>58983.75</v>
      </c>
      <c r="I608" s="7">
        <v>1</v>
      </c>
      <c r="J608" s="7">
        <v>3</v>
      </c>
      <c r="K608" s="7">
        <v>3</v>
      </c>
      <c r="L608" s="7">
        <v>1</v>
      </c>
      <c r="M608" s="7">
        <v>2</v>
      </c>
      <c r="N608" s="1">
        <f t="shared" si="59"/>
        <v>2</v>
      </c>
      <c r="O608" s="1" t="str">
        <f t="shared" si="58"/>
        <v>Meets Expectations</v>
      </c>
    </row>
    <row r="609" spans="1:15" x14ac:dyDescent="0.55000000000000004">
      <c r="A609" s="3">
        <v>1238911608</v>
      </c>
      <c r="B609" s="1" t="s">
        <v>12</v>
      </c>
      <c r="C609" s="6">
        <v>34736</v>
      </c>
      <c r="D609" s="6">
        <v>42284</v>
      </c>
      <c r="E609" s="6">
        <v>44183</v>
      </c>
      <c r="F609" s="6"/>
      <c r="G609" s="1" t="s">
        <v>277</v>
      </c>
      <c r="H609" s="2">
        <v>65005.85</v>
      </c>
      <c r="I609" s="7">
        <v>1</v>
      </c>
      <c r="J609" s="7">
        <v>3</v>
      </c>
      <c r="K609" s="7">
        <v>1</v>
      </c>
      <c r="L609" s="7">
        <v>3</v>
      </c>
      <c r="M609" s="7">
        <v>3</v>
      </c>
      <c r="N609" s="1">
        <f t="shared" si="59"/>
        <v>2</v>
      </c>
      <c r="O609" s="1" t="str">
        <f t="shared" si="58"/>
        <v>Meets Expectations</v>
      </c>
    </row>
    <row r="610" spans="1:15" x14ac:dyDescent="0.55000000000000004">
      <c r="A610" s="3">
        <v>1238911609</v>
      </c>
      <c r="B610" s="1" t="s">
        <v>12</v>
      </c>
      <c r="C610" s="6">
        <v>34773</v>
      </c>
      <c r="D610" s="6">
        <v>41388</v>
      </c>
      <c r="E610" s="6">
        <v>45672</v>
      </c>
      <c r="F610" s="6"/>
      <c r="G610" s="1" t="s">
        <v>134</v>
      </c>
      <c r="H610" s="2">
        <v>59383.75</v>
      </c>
      <c r="I610" s="7">
        <v>3</v>
      </c>
      <c r="J610" s="7">
        <v>1</v>
      </c>
      <c r="K610" s="7">
        <v>1</v>
      </c>
      <c r="L610" s="7">
        <v>2</v>
      </c>
      <c r="M610" s="7">
        <v>1</v>
      </c>
      <c r="N610" s="1">
        <f t="shared" si="59"/>
        <v>2</v>
      </c>
      <c r="O610" s="1" t="str">
        <f t="shared" si="58"/>
        <v>Meets Expectations</v>
      </c>
    </row>
    <row r="611" spans="1:15" x14ac:dyDescent="0.55000000000000004">
      <c r="A611" s="3">
        <v>1238911610</v>
      </c>
      <c r="B611" s="1" t="s">
        <v>12</v>
      </c>
      <c r="C611" s="6">
        <v>34777</v>
      </c>
      <c r="D611" s="6">
        <v>41617</v>
      </c>
      <c r="E611" s="6">
        <v>44889</v>
      </c>
      <c r="F611" s="6"/>
      <c r="G611" s="1" t="s">
        <v>191</v>
      </c>
      <c r="H611" s="2">
        <v>76726</v>
      </c>
      <c r="I611" s="7">
        <v>2</v>
      </c>
      <c r="J611" s="7">
        <v>2</v>
      </c>
      <c r="K611" s="7">
        <v>3</v>
      </c>
      <c r="L611" s="7">
        <v>1</v>
      </c>
      <c r="M611" s="7">
        <v>1</v>
      </c>
      <c r="N611" s="1">
        <f t="shared" si="59"/>
        <v>2</v>
      </c>
      <c r="O611" s="1" t="str">
        <f t="shared" si="58"/>
        <v>Meets Expectations</v>
      </c>
    </row>
    <row r="612" spans="1:15" x14ac:dyDescent="0.55000000000000004">
      <c r="A612" s="3">
        <v>1238911611</v>
      </c>
      <c r="B612" s="1" t="s">
        <v>14</v>
      </c>
      <c r="C612" s="6">
        <v>34808</v>
      </c>
      <c r="D612" s="6">
        <v>42050</v>
      </c>
      <c r="E612" s="6"/>
      <c r="F612" s="15" t="str">
        <f ca="1">IF(E612="",DATEDIF(D612,TODAY(),"y")&amp; "Years" &amp;DATEDIF(D612,TODAY(),"ym")&amp; "Months"&amp;DATEDIF(D612,TODAY(),"md") &amp;"Days",DATEDIF(D612,E612,"y")&amp; "Years" &amp;DATEDIF(D612,E612,"ym")&amp; "Months"&amp;DATEDIF(D612,E612,"md") &amp;"Days")</f>
        <v>11Years2Months28Days</v>
      </c>
      <c r="G612" s="1" t="s">
        <v>278</v>
      </c>
      <c r="H612" s="2">
        <v>49634</v>
      </c>
      <c r="I612" s="7">
        <v>1</v>
      </c>
      <c r="J612" s="7">
        <v>1</v>
      </c>
      <c r="K612" s="7">
        <v>2</v>
      </c>
      <c r="L612" s="7">
        <v>1</v>
      </c>
      <c r="M612" s="7">
        <v>2</v>
      </c>
      <c r="N612" s="1">
        <f t="shared" si="59"/>
        <v>1</v>
      </c>
      <c r="O612" s="1" t="str">
        <f t="shared" si="58"/>
        <v>Below Expectations</v>
      </c>
    </row>
    <row r="613" spans="1:15" x14ac:dyDescent="0.55000000000000004">
      <c r="A613" s="3">
        <v>1238911612</v>
      </c>
      <c r="B613" s="1" t="s">
        <v>14</v>
      </c>
      <c r="C613" s="6">
        <v>34815</v>
      </c>
      <c r="D613" s="6">
        <v>44129</v>
      </c>
      <c r="E613" s="6">
        <v>44510</v>
      </c>
      <c r="F613" s="6"/>
      <c r="G613" s="1" t="s">
        <v>279</v>
      </c>
      <c r="H613" s="2">
        <v>69628</v>
      </c>
      <c r="I613" s="7">
        <v>1</v>
      </c>
      <c r="J613" s="7">
        <v>3</v>
      </c>
      <c r="K613" s="7">
        <v>1</v>
      </c>
      <c r="L613" s="7">
        <v>3</v>
      </c>
      <c r="M613" s="7">
        <v>3</v>
      </c>
      <c r="N613" s="1">
        <f t="shared" si="59"/>
        <v>2</v>
      </c>
      <c r="O613" s="1" t="str">
        <f t="shared" si="58"/>
        <v>Meets Expectations</v>
      </c>
    </row>
    <row r="614" spans="1:15" x14ac:dyDescent="0.55000000000000004">
      <c r="A614" s="3">
        <v>1238911613</v>
      </c>
      <c r="B614" s="1" t="s">
        <v>12</v>
      </c>
      <c r="C614" s="6">
        <v>34857</v>
      </c>
      <c r="D614" s="6">
        <v>43383</v>
      </c>
      <c r="E614" s="6"/>
      <c r="F614" s="6"/>
      <c r="G614" s="1" t="s">
        <v>208</v>
      </c>
      <c r="H614" s="2">
        <v>78753.75</v>
      </c>
      <c r="I614" s="7">
        <v>2</v>
      </c>
      <c r="J614" s="7">
        <v>2</v>
      </c>
      <c r="K614" s="7">
        <v>3</v>
      </c>
      <c r="L614" s="7">
        <v>2</v>
      </c>
      <c r="M614" s="7">
        <v>3</v>
      </c>
      <c r="N614" s="1">
        <f t="shared" si="59"/>
        <v>2</v>
      </c>
      <c r="O614" s="1" t="str">
        <f t="shared" si="58"/>
        <v>Meets Expectations</v>
      </c>
    </row>
    <row r="615" spans="1:15" x14ac:dyDescent="0.55000000000000004">
      <c r="A615" s="3">
        <v>1238911614</v>
      </c>
      <c r="B615" s="1" t="s">
        <v>14</v>
      </c>
      <c r="C615" s="6">
        <v>34828</v>
      </c>
      <c r="D615" s="6">
        <v>42609</v>
      </c>
      <c r="E615" s="6"/>
      <c r="F615" s="15" t="str">
        <f ca="1">IF(E615="",DATEDIF(D615,TODAY(),"y")&amp; "Years" &amp;DATEDIF(D615,TODAY(),"ym")&amp; "Months"&amp;DATEDIF(D615,TODAY(),"md") &amp;"Days",DATEDIF(D615,E615,"y")&amp; "Years" &amp;DATEDIF(D615,E615,"ym")&amp; "Months"&amp;DATEDIF(D615,E615,"md") &amp;"Days")</f>
        <v>9Years8Months16Days</v>
      </c>
      <c r="G615" s="1" t="s">
        <v>25</v>
      </c>
      <c r="H615" s="2">
        <v>26572</v>
      </c>
      <c r="I615" s="7">
        <v>1</v>
      </c>
      <c r="J615" s="7">
        <v>1</v>
      </c>
      <c r="K615" s="7">
        <v>1</v>
      </c>
      <c r="L615" s="7">
        <v>1</v>
      </c>
      <c r="M615" s="7">
        <v>2</v>
      </c>
      <c r="N615" s="1">
        <f t="shared" si="59"/>
        <v>1</v>
      </c>
      <c r="O615" s="1" t="str">
        <f t="shared" si="58"/>
        <v>Below Expectations</v>
      </c>
    </row>
    <row r="616" spans="1:15" x14ac:dyDescent="0.55000000000000004">
      <c r="A616" s="3">
        <v>1238911615</v>
      </c>
      <c r="B616" s="1" t="s">
        <v>14</v>
      </c>
      <c r="C616" s="6">
        <v>34872</v>
      </c>
      <c r="D616" s="6">
        <v>44947</v>
      </c>
      <c r="E616" s="6"/>
      <c r="F616" s="6"/>
      <c r="G616" s="1" t="s">
        <v>134</v>
      </c>
      <c r="H616" s="2">
        <v>60190</v>
      </c>
      <c r="I616" s="7">
        <v>2</v>
      </c>
      <c r="J616" s="7">
        <v>2</v>
      </c>
      <c r="K616" s="7">
        <v>1</v>
      </c>
      <c r="L616" s="7">
        <v>1</v>
      </c>
      <c r="M616" s="7">
        <v>1</v>
      </c>
      <c r="N616" s="1">
        <f t="shared" si="59"/>
        <v>1</v>
      </c>
      <c r="O616" s="1" t="str">
        <f t="shared" si="58"/>
        <v>Below Expectations</v>
      </c>
    </row>
    <row r="617" spans="1:15" x14ac:dyDescent="0.55000000000000004">
      <c r="A617" s="3">
        <v>1238911616</v>
      </c>
      <c r="B617" s="1" t="s">
        <v>12</v>
      </c>
      <c r="C617" s="6">
        <v>34919</v>
      </c>
      <c r="D617" s="6">
        <v>45147</v>
      </c>
      <c r="E617" s="6"/>
      <c r="F617" s="6"/>
      <c r="G617" s="1" t="s">
        <v>44</v>
      </c>
      <c r="H617" s="2">
        <v>27300</v>
      </c>
      <c r="I617" s="7">
        <v>3</v>
      </c>
      <c r="J617" s="7">
        <v>1</v>
      </c>
      <c r="K617" s="7">
        <v>2</v>
      </c>
      <c r="L617" s="7">
        <v>1</v>
      </c>
      <c r="M617" s="7">
        <v>3</v>
      </c>
      <c r="N617" s="1">
        <f t="shared" si="59"/>
        <v>2</v>
      </c>
      <c r="O617" s="1" t="str">
        <f t="shared" si="58"/>
        <v>Meets Expectations</v>
      </c>
    </row>
    <row r="618" spans="1:15" x14ac:dyDescent="0.55000000000000004">
      <c r="A618" s="3">
        <v>1238911617</v>
      </c>
      <c r="B618" s="1" t="s">
        <v>14</v>
      </c>
      <c r="C618" s="6">
        <v>34921</v>
      </c>
      <c r="D618" s="6">
        <v>42973</v>
      </c>
      <c r="E618" s="6"/>
      <c r="F618" s="6"/>
      <c r="G618" s="1" t="s">
        <v>23</v>
      </c>
      <c r="H618" s="2">
        <v>52500</v>
      </c>
      <c r="I618" s="7">
        <v>3</v>
      </c>
      <c r="J618" s="7">
        <v>2</v>
      </c>
      <c r="K618" s="7">
        <v>3</v>
      </c>
      <c r="L618" s="7">
        <v>3</v>
      </c>
      <c r="M618" s="7">
        <v>2</v>
      </c>
      <c r="N618" s="1">
        <f t="shared" si="59"/>
        <v>3</v>
      </c>
      <c r="O618" s="1" t="str">
        <f t="shared" si="58"/>
        <v>Exceeds Expectations</v>
      </c>
    </row>
    <row r="619" spans="1:15" x14ac:dyDescent="0.55000000000000004">
      <c r="A619" s="3">
        <v>1238911618</v>
      </c>
      <c r="B619" s="1" t="s">
        <v>12</v>
      </c>
      <c r="C619" s="6">
        <v>34910</v>
      </c>
      <c r="D619" s="6">
        <v>42490</v>
      </c>
      <c r="E619" s="6"/>
      <c r="F619" s="6"/>
      <c r="G619" s="1" t="s">
        <v>280</v>
      </c>
      <c r="H619" s="2">
        <v>62500</v>
      </c>
      <c r="I619" s="7">
        <v>3</v>
      </c>
      <c r="J619" s="7">
        <v>2</v>
      </c>
      <c r="K619" s="7">
        <v>3</v>
      </c>
      <c r="L619" s="7">
        <v>3</v>
      </c>
      <c r="M619" s="7">
        <v>3</v>
      </c>
      <c r="N619" s="1">
        <f t="shared" si="59"/>
        <v>3</v>
      </c>
      <c r="O619" s="1" t="str">
        <f t="shared" si="58"/>
        <v>Exceeds Expectations</v>
      </c>
    </row>
    <row r="620" spans="1:15" x14ac:dyDescent="0.55000000000000004">
      <c r="A620" s="3">
        <v>1238911619</v>
      </c>
      <c r="B620" s="1" t="s">
        <v>12</v>
      </c>
      <c r="C620" s="6">
        <v>35805</v>
      </c>
      <c r="D620" s="6">
        <v>43120</v>
      </c>
      <c r="E620" s="6">
        <v>44790</v>
      </c>
      <c r="F620" s="6"/>
      <c r="G620" s="1" t="s">
        <v>91</v>
      </c>
      <c r="H620" s="2">
        <v>49322.5</v>
      </c>
      <c r="I620" s="7">
        <v>1</v>
      </c>
      <c r="J620" s="7">
        <v>1</v>
      </c>
      <c r="K620" s="7">
        <v>1</v>
      </c>
      <c r="L620" s="7">
        <v>1</v>
      </c>
      <c r="M620" s="7">
        <v>3</v>
      </c>
      <c r="N620" s="1">
        <f t="shared" si="59"/>
        <v>1</v>
      </c>
      <c r="O620" s="1" t="str">
        <f t="shared" si="58"/>
        <v>Below Expectations</v>
      </c>
    </row>
    <row r="621" spans="1:15" x14ac:dyDescent="0.55000000000000004">
      <c r="A621" s="3">
        <v>1238911620</v>
      </c>
      <c r="B621" s="1" t="s">
        <v>12</v>
      </c>
      <c r="C621" s="6">
        <v>34926</v>
      </c>
      <c r="D621" s="6">
        <v>43749</v>
      </c>
      <c r="E621" s="6"/>
      <c r="F621" s="6"/>
      <c r="G621" s="1" t="s">
        <v>91</v>
      </c>
      <c r="H621" s="2">
        <v>49322.5</v>
      </c>
      <c r="I621" s="7">
        <v>2</v>
      </c>
      <c r="J621" s="7">
        <v>2</v>
      </c>
      <c r="K621" s="7">
        <v>3</v>
      </c>
      <c r="L621" s="7">
        <v>3</v>
      </c>
      <c r="M621" s="7">
        <v>1</v>
      </c>
      <c r="N621" s="1">
        <f t="shared" si="59"/>
        <v>2</v>
      </c>
      <c r="O621" s="1" t="str">
        <f t="shared" si="58"/>
        <v>Meets Expectations</v>
      </c>
    </row>
    <row r="622" spans="1:15" x14ac:dyDescent="0.55000000000000004">
      <c r="A622" s="3">
        <v>1238911621</v>
      </c>
      <c r="B622" s="1" t="s">
        <v>14</v>
      </c>
      <c r="C622" s="6">
        <v>34939</v>
      </c>
      <c r="D622" s="6">
        <v>43651</v>
      </c>
      <c r="E622" s="6"/>
      <c r="F622" s="15" t="str">
        <f ca="1">IF(E622="",DATEDIF(D622,TODAY(),"y")&amp; "Years" &amp;DATEDIF(D622,TODAY(),"ym")&amp; "Months"&amp;DATEDIF(D622,TODAY(),"md") &amp;"Days",DATEDIF(D622,E622,"y")&amp; "Years" &amp;DATEDIF(D622,E622,"ym")&amp; "Months"&amp;DATEDIF(D622,E622,"md") &amp;"Days")</f>
        <v>6Years10Months8Days</v>
      </c>
      <c r="G622" s="1" t="s">
        <v>96</v>
      </c>
      <c r="H622" s="2">
        <v>34710</v>
      </c>
      <c r="I622" s="7">
        <v>2</v>
      </c>
      <c r="J622" s="7">
        <v>1</v>
      </c>
      <c r="K622" s="7">
        <v>1</v>
      </c>
      <c r="L622" s="7">
        <v>3</v>
      </c>
      <c r="M622" s="7">
        <v>3</v>
      </c>
      <c r="N622" s="1">
        <f t="shared" si="59"/>
        <v>2</v>
      </c>
      <c r="O622" s="1" t="str">
        <f t="shared" si="58"/>
        <v>Meets Expectations</v>
      </c>
    </row>
    <row r="623" spans="1:15" x14ac:dyDescent="0.55000000000000004">
      <c r="A623" s="3">
        <v>1238911622</v>
      </c>
      <c r="B623" s="1" t="s">
        <v>12</v>
      </c>
      <c r="C623" s="6">
        <v>34973</v>
      </c>
      <c r="D623" s="6">
        <v>44131</v>
      </c>
      <c r="E623" s="6">
        <v>44496</v>
      </c>
      <c r="F623" s="6"/>
      <c r="G623" s="1" t="s">
        <v>63</v>
      </c>
      <c r="H623" s="2">
        <v>74022</v>
      </c>
      <c r="I623" s="7">
        <v>2</v>
      </c>
      <c r="J623" s="7">
        <v>2</v>
      </c>
      <c r="K623" s="7">
        <v>3</v>
      </c>
      <c r="L623" s="7">
        <v>3</v>
      </c>
      <c r="M623" s="7">
        <v>3</v>
      </c>
      <c r="N623" s="1">
        <f t="shared" si="59"/>
        <v>3</v>
      </c>
      <c r="O623" s="1" t="str">
        <f t="shared" si="58"/>
        <v>Exceeds Expectations</v>
      </c>
    </row>
    <row r="624" spans="1:15" x14ac:dyDescent="0.55000000000000004">
      <c r="A624" s="3">
        <v>1238911623</v>
      </c>
      <c r="B624" s="1" t="s">
        <v>14</v>
      </c>
      <c r="C624" s="6">
        <v>34942</v>
      </c>
      <c r="D624" s="6">
        <v>44658</v>
      </c>
      <c r="E624" s="6"/>
      <c r="F624" s="6"/>
      <c r="G624" s="1" t="s">
        <v>114</v>
      </c>
      <c r="H624" s="2">
        <v>67500</v>
      </c>
      <c r="I624" s="7">
        <v>2</v>
      </c>
      <c r="J624" s="7">
        <v>3</v>
      </c>
      <c r="K624" s="7">
        <v>3</v>
      </c>
      <c r="L624" s="7">
        <v>1</v>
      </c>
      <c r="M624" s="7">
        <v>2</v>
      </c>
      <c r="N624" s="1">
        <f t="shared" si="59"/>
        <v>2</v>
      </c>
      <c r="O624" s="1" t="str">
        <f t="shared" si="58"/>
        <v>Meets Expectations</v>
      </c>
    </row>
    <row r="625" spans="1:15" x14ac:dyDescent="0.55000000000000004">
      <c r="A625" s="3">
        <v>1238911624</v>
      </c>
      <c r="B625" s="1" t="s">
        <v>12</v>
      </c>
      <c r="C625" s="6">
        <v>34945</v>
      </c>
      <c r="D625" s="6">
        <v>42015</v>
      </c>
      <c r="E625" s="6">
        <v>45520</v>
      </c>
      <c r="F625" s="6"/>
      <c r="G625" s="1" t="s">
        <v>44</v>
      </c>
      <c r="H625" s="2">
        <v>42224</v>
      </c>
      <c r="I625" s="7">
        <v>3</v>
      </c>
      <c r="J625" s="7">
        <v>3</v>
      </c>
      <c r="K625" s="7">
        <v>3</v>
      </c>
      <c r="L625" s="7">
        <v>3</v>
      </c>
      <c r="M625" s="7">
        <v>3</v>
      </c>
      <c r="N625" s="1">
        <f t="shared" si="59"/>
        <v>3</v>
      </c>
      <c r="O625" s="1" t="str">
        <f t="shared" si="58"/>
        <v>Exceeds Expectations</v>
      </c>
    </row>
    <row r="626" spans="1:15" x14ac:dyDescent="0.55000000000000004">
      <c r="A626" s="3">
        <v>1238911625</v>
      </c>
      <c r="B626" s="1" t="s">
        <v>14</v>
      </c>
      <c r="C626" s="6">
        <v>34951</v>
      </c>
      <c r="D626" s="6">
        <v>42795</v>
      </c>
      <c r="E626" s="6"/>
      <c r="F626" s="6"/>
      <c r="G626" s="1" t="s">
        <v>281</v>
      </c>
      <c r="H626" s="2">
        <v>61308</v>
      </c>
      <c r="I626" s="7">
        <v>3</v>
      </c>
      <c r="J626" s="7">
        <v>3</v>
      </c>
      <c r="K626" s="7">
        <v>1</v>
      </c>
      <c r="L626" s="7">
        <v>1</v>
      </c>
      <c r="M626" s="7">
        <v>2</v>
      </c>
      <c r="N626" s="1">
        <f t="shared" si="59"/>
        <v>2</v>
      </c>
      <c r="O626" s="1" t="str">
        <f t="shared" si="58"/>
        <v>Meets Expectations</v>
      </c>
    </row>
    <row r="627" spans="1:15" x14ac:dyDescent="0.55000000000000004">
      <c r="A627" s="3">
        <v>1238911626</v>
      </c>
      <c r="B627" s="1" t="s">
        <v>12</v>
      </c>
      <c r="C627" s="6">
        <v>34974</v>
      </c>
      <c r="D627" s="6">
        <v>42354</v>
      </c>
      <c r="E627" s="6"/>
      <c r="F627" s="6"/>
      <c r="G627" s="1" t="s">
        <v>134</v>
      </c>
      <c r="H627" s="2">
        <v>65000</v>
      </c>
      <c r="I627" s="7">
        <v>3</v>
      </c>
      <c r="J627" s="7">
        <v>3</v>
      </c>
      <c r="K627" s="7">
        <v>2</v>
      </c>
      <c r="L627" s="7">
        <v>1</v>
      </c>
      <c r="M627" s="7">
        <v>2</v>
      </c>
      <c r="N627" s="1">
        <f t="shared" si="59"/>
        <v>2</v>
      </c>
      <c r="O627" s="1" t="str">
        <f t="shared" si="58"/>
        <v>Meets Expectations</v>
      </c>
    </row>
    <row r="628" spans="1:15" x14ac:dyDescent="0.55000000000000004">
      <c r="A628" s="3">
        <v>1238911627</v>
      </c>
      <c r="B628" s="1" t="s">
        <v>14</v>
      </c>
      <c r="C628" s="6">
        <v>34979</v>
      </c>
      <c r="D628" s="6">
        <v>44030</v>
      </c>
      <c r="E628" s="6"/>
      <c r="F628" s="15" t="str">
        <f ca="1">IF(E628="",DATEDIF(D628,TODAY(),"y")&amp; "Years" &amp;DATEDIF(D628,TODAY(),"ym")&amp; "Months"&amp;DATEDIF(D628,TODAY(),"md") &amp;"Days",DATEDIF(D628,E628,"y")&amp; "Years" &amp;DATEDIF(D628,E628,"ym")&amp; "Months"&amp;DATEDIF(D628,E628,"md") &amp;"Days")</f>
        <v>5Years9Months25Days</v>
      </c>
      <c r="G628" s="1" t="s">
        <v>282</v>
      </c>
      <c r="H628" s="2">
        <v>34008</v>
      </c>
      <c r="I628" s="7">
        <v>1</v>
      </c>
      <c r="J628" s="7">
        <v>1</v>
      </c>
      <c r="K628" s="7">
        <v>1</v>
      </c>
      <c r="L628" s="7">
        <v>1</v>
      </c>
      <c r="M628" s="7">
        <v>1</v>
      </c>
      <c r="N628" s="1">
        <f t="shared" si="59"/>
        <v>1</v>
      </c>
      <c r="O628" s="1" t="str">
        <f t="shared" si="58"/>
        <v>Below Expectations</v>
      </c>
    </row>
    <row r="629" spans="1:15" x14ac:dyDescent="0.55000000000000004">
      <c r="A629" s="3">
        <v>1238911628</v>
      </c>
      <c r="B629" s="1" t="s">
        <v>12</v>
      </c>
      <c r="C629" s="6">
        <v>35001</v>
      </c>
      <c r="D629" s="6">
        <v>45182</v>
      </c>
      <c r="E629" s="6">
        <v>45731</v>
      </c>
      <c r="F629" s="6"/>
      <c r="G629" s="1" t="s">
        <v>161</v>
      </c>
      <c r="H629" s="2">
        <v>93750</v>
      </c>
      <c r="I629" s="7">
        <v>3</v>
      </c>
      <c r="J629" s="7">
        <v>1</v>
      </c>
      <c r="K629" s="7">
        <v>1</v>
      </c>
      <c r="L629" s="7">
        <v>2</v>
      </c>
      <c r="M629" s="7">
        <v>3</v>
      </c>
      <c r="N629" s="1">
        <f t="shared" si="59"/>
        <v>2</v>
      </c>
      <c r="O629" s="1" t="str">
        <f t="shared" si="58"/>
        <v>Meets Expectations</v>
      </c>
    </row>
    <row r="630" spans="1:15" x14ac:dyDescent="0.55000000000000004">
      <c r="A630" s="3">
        <v>1238911629</v>
      </c>
      <c r="B630" s="1" t="s">
        <v>12</v>
      </c>
      <c r="C630" s="6">
        <v>35022</v>
      </c>
      <c r="D630" s="6">
        <v>43416</v>
      </c>
      <c r="E630" s="6"/>
      <c r="F630" s="6"/>
      <c r="G630" s="1" t="s">
        <v>25</v>
      </c>
      <c r="H630" s="2">
        <v>26520</v>
      </c>
      <c r="I630" s="7">
        <v>1</v>
      </c>
      <c r="J630" s="7">
        <v>1</v>
      </c>
      <c r="K630" s="7">
        <v>2</v>
      </c>
      <c r="L630" s="7">
        <v>1</v>
      </c>
      <c r="M630" s="7">
        <v>3</v>
      </c>
      <c r="N630" s="1">
        <f t="shared" si="59"/>
        <v>2</v>
      </c>
      <c r="O630" s="1" t="str">
        <f t="shared" si="58"/>
        <v>Meets Expectations</v>
      </c>
    </row>
    <row r="631" spans="1:15" x14ac:dyDescent="0.55000000000000004">
      <c r="A631" s="3">
        <v>1238911630</v>
      </c>
      <c r="B631" s="1" t="s">
        <v>14</v>
      </c>
      <c r="C631" s="6">
        <v>35029</v>
      </c>
      <c r="D631" s="6">
        <v>42183</v>
      </c>
      <c r="E631" s="6">
        <v>45784</v>
      </c>
      <c r="F631" s="15" t="str">
        <f ca="1">IF(E631="",DATEDIF(D631,TODAY(),"y")&amp; "Years" &amp;DATEDIF(D631,TODAY(),"ym")&amp; "Months"&amp;DATEDIF(D631,TODAY(),"md") &amp;"Days",DATEDIF(D631,E631,"y")&amp; "Years" &amp;DATEDIF(D631,E631,"ym")&amp; "Months"&amp;DATEDIF(D631,E631,"md") &amp;"Days")</f>
        <v>9Years10Months9Days</v>
      </c>
      <c r="G631" s="1" t="s">
        <v>44</v>
      </c>
      <c r="H631" s="2">
        <v>31200</v>
      </c>
      <c r="I631" s="7">
        <v>3</v>
      </c>
      <c r="J631" s="7">
        <v>3</v>
      </c>
      <c r="K631" s="7">
        <v>1</v>
      </c>
      <c r="L631" s="7">
        <v>2</v>
      </c>
      <c r="M631" s="7">
        <v>1</v>
      </c>
      <c r="N631" s="1">
        <f t="shared" si="59"/>
        <v>2</v>
      </c>
      <c r="O631" s="1" t="str">
        <f t="shared" si="58"/>
        <v>Meets Expectations</v>
      </c>
    </row>
    <row r="632" spans="1:15" x14ac:dyDescent="0.55000000000000004">
      <c r="A632" s="3">
        <v>1238911631</v>
      </c>
      <c r="B632" s="1" t="s">
        <v>12</v>
      </c>
      <c r="C632" s="6">
        <v>35047</v>
      </c>
      <c r="D632" s="6">
        <v>42974</v>
      </c>
      <c r="E632" s="6"/>
      <c r="F632" s="6"/>
      <c r="G632" s="1" t="s">
        <v>252</v>
      </c>
      <c r="H632" s="2">
        <v>52500</v>
      </c>
      <c r="I632" s="7">
        <v>3</v>
      </c>
      <c r="J632" s="7">
        <v>2</v>
      </c>
      <c r="K632" s="7">
        <v>2</v>
      </c>
      <c r="L632" s="7">
        <v>3</v>
      </c>
      <c r="M632" s="7">
        <v>3</v>
      </c>
      <c r="N632" s="1">
        <f t="shared" si="59"/>
        <v>3</v>
      </c>
      <c r="O632" s="1" t="str">
        <f t="shared" si="58"/>
        <v>Exceeds Expectations</v>
      </c>
    </row>
    <row r="633" spans="1:15" x14ac:dyDescent="0.55000000000000004">
      <c r="A633" s="3">
        <v>1238911632</v>
      </c>
      <c r="B633" s="1" t="s">
        <v>12</v>
      </c>
      <c r="C633" s="6">
        <v>29599</v>
      </c>
      <c r="D633" s="6">
        <v>45060</v>
      </c>
      <c r="E633" s="6">
        <v>45301</v>
      </c>
      <c r="F633" s="6"/>
      <c r="G633" s="1" t="s">
        <v>283</v>
      </c>
      <c r="H633" s="2">
        <v>75000</v>
      </c>
      <c r="I633" s="7">
        <v>1</v>
      </c>
      <c r="J633" s="7">
        <v>2</v>
      </c>
      <c r="K633" s="7">
        <v>1</v>
      </c>
      <c r="L633" s="7">
        <v>1</v>
      </c>
      <c r="M633" s="7">
        <v>1</v>
      </c>
      <c r="N633" s="1">
        <f t="shared" si="59"/>
        <v>1</v>
      </c>
      <c r="O633" s="1" t="str">
        <f t="shared" si="58"/>
        <v>Below Expectations</v>
      </c>
    </row>
    <row r="634" spans="1:15" x14ac:dyDescent="0.55000000000000004">
      <c r="A634" s="3">
        <v>1238911633</v>
      </c>
      <c r="B634" s="1" t="s">
        <v>12</v>
      </c>
      <c r="C634" s="6">
        <v>35120</v>
      </c>
      <c r="D634" s="6">
        <v>45302</v>
      </c>
      <c r="E634" s="6"/>
      <c r="F634" s="6"/>
      <c r="G634" s="1" t="s">
        <v>187</v>
      </c>
      <c r="H634" s="2">
        <v>91000</v>
      </c>
      <c r="I634" s="7">
        <v>3</v>
      </c>
      <c r="J634" s="7">
        <v>1</v>
      </c>
      <c r="K634" s="7">
        <v>3</v>
      </c>
      <c r="L634" s="7">
        <v>2</v>
      </c>
      <c r="M634" s="7">
        <v>3</v>
      </c>
      <c r="N634" s="1">
        <f t="shared" si="59"/>
        <v>2</v>
      </c>
      <c r="O634" s="1" t="str">
        <f t="shared" si="58"/>
        <v>Meets Expectations</v>
      </c>
    </row>
    <row r="635" spans="1:15" x14ac:dyDescent="0.55000000000000004">
      <c r="A635" s="3">
        <v>1238911634</v>
      </c>
      <c r="B635" s="1" t="s">
        <v>12</v>
      </c>
      <c r="C635" s="6">
        <v>35151</v>
      </c>
      <c r="D635" s="6">
        <v>44558</v>
      </c>
      <c r="E635" s="6"/>
      <c r="F635" s="6"/>
      <c r="G635" s="1" t="s">
        <v>284</v>
      </c>
      <c r="H635" s="2">
        <v>44200</v>
      </c>
      <c r="I635" s="7">
        <v>1</v>
      </c>
      <c r="J635" s="7">
        <v>2</v>
      </c>
      <c r="K635" s="7">
        <v>1</v>
      </c>
      <c r="L635" s="7">
        <v>1</v>
      </c>
      <c r="M635" s="7">
        <v>1</v>
      </c>
      <c r="N635" s="1">
        <f t="shared" si="59"/>
        <v>1</v>
      </c>
      <c r="O635" s="1" t="str">
        <f t="shared" si="58"/>
        <v>Below Expectations</v>
      </c>
    </row>
    <row r="636" spans="1:15" x14ac:dyDescent="0.55000000000000004">
      <c r="A636" s="3">
        <v>1238911635</v>
      </c>
      <c r="B636" s="1" t="s">
        <v>14</v>
      </c>
      <c r="C636" s="6">
        <v>35168</v>
      </c>
      <c r="D636" s="6">
        <v>43411</v>
      </c>
      <c r="E636" s="6">
        <v>45224</v>
      </c>
      <c r="F636" s="15" t="str">
        <f ca="1">IF(E636="",DATEDIF(D636,TODAY(),"y")&amp; "Years" &amp;DATEDIF(D636,TODAY(),"ym")&amp; "Months"&amp;DATEDIF(D636,TODAY(),"md") &amp;"Days",DATEDIF(D636,E636,"y")&amp; "Years" &amp;DATEDIF(D636,E636,"ym")&amp; "Months"&amp;DATEDIF(D636,E636,"md") &amp;"Days")</f>
        <v>4Years11Months18Days</v>
      </c>
      <c r="G636" s="1" t="s">
        <v>65</v>
      </c>
      <c r="H636" s="2">
        <v>39000</v>
      </c>
      <c r="I636" s="7">
        <v>3</v>
      </c>
      <c r="J636" s="7">
        <v>3</v>
      </c>
      <c r="K636" s="7">
        <v>2</v>
      </c>
      <c r="L636" s="7">
        <v>3</v>
      </c>
      <c r="M636" s="7">
        <v>3</v>
      </c>
      <c r="N636" s="1">
        <f t="shared" si="59"/>
        <v>3</v>
      </c>
      <c r="O636" s="1" t="str">
        <f t="shared" si="58"/>
        <v>Exceeds Expectations</v>
      </c>
    </row>
    <row r="637" spans="1:15" x14ac:dyDescent="0.55000000000000004">
      <c r="A637" s="3">
        <v>1238911636</v>
      </c>
      <c r="B637" s="1" t="s">
        <v>12</v>
      </c>
      <c r="C637" s="6">
        <v>35189</v>
      </c>
      <c r="D637" s="6">
        <v>42437</v>
      </c>
      <c r="E637" s="6"/>
      <c r="F637" s="6"/>
      <c r="G637" s="1" t="s">
        <v>44</v>
      </c>
      <c r="H637" s="2">
        <v>29042</v>
      </c>
      <c r="I637" s="7">
        <v>1</v>
      </c>
      <c r="J637" s="7">
        <v>1</v>
      </c>
      <c r="K637" s="7">
        <v>1</v>
      </c>
      <c r="L637" s="7">
        <v>2</v>
      </c>
      <c r="M637" s="7">
        <v>2</v>
      </c>
      <c r="N637" s="1">
        <f t="shared" si="59"/>
        <v>1</v>
      </c>
      <c r="O637" s="1" t="str">
        <f t="shared" si="58"/>
        <v>Below Expectations</v>
      </c>
    </row>
    <row r="638" spans="1:15" x14ac:dyDescent="0.55000000000000004">
      <c r="A638" s="3">
        <v>1238911637</v>
      </c>
      <c r="B638" s="1" t="s">
        <v>12</v>
      </c>
      <c r="C638" s="6">
        <v>35176</v>
      </c>
      <c r="D638" s="6">
        <v>45534</v>
      </c>
      <c r="E638" s="6"/>
      <c r="F638" s="6"/>
      <c r="G638" s="1" t="s">
        <v>96</v>
      </c>
      <c r="H638" s="2">
        <v>31590</v>
      </c>
      <c r="I638" s="7">
        <v>1</v>
      </c>
      <c r="J638" s="7">
        <v>1</v>
      </c>
      <c r="K638" s="7">
        <v>3</v>
      </c>
      <c r="L638" s="7">
        <v>3</v>
      </c>
      <c r="M638" s="7">
        <v>2</v>
      </c>
      <c r="N638" s="1">
        <f t="shared" si="59"/>
        <v>2</v>
      </c>
      <c r="O638" s="1" t="str">
        <f t="shared" si="58"/>
        <v>Meets Expectations</v>
      </c>
    </row>
    <row r="639" spans="1:15" x14ac:dyDescent="0.55000000000000004">
      <c r="A639" s="3">
        <v>1238911638</v>
      </c>
      <c r="B639" s="1" t="s">
        <v>12</v>
      </c>
      <c r="C639" s="6">
        <v>35215</v>
      </c>
      <c r="D639" s="6">
        <v>44846</v>
      </c>
      <c r="E639" s="6"/>
      <c r="F639" s="6"/>
      <c r="G639" s="1" t="s">
        <v>63</v>
      </c>
      <c r="H639" s="2">
        <v>62608</v>
      </c>
      <c r="I639" s="7">
        <v>2</v>
      </c>
      <c r="J639" s="7">
        <v>3</v>
      </c>
      <c r="K639" s="7">
        <v>2</v>
      </c>
      <c r="L639" s="7">
        <v>3</v>
      </c>
      <c r="M639" s="7">
        <v>3</v>
      </c>
      <c r="N639" s="1">
        <f t="shared" si="59"/>
        <v>3</v>
      </c>
      <c r="O639" s="1" t="str">
        <f t="shared" si="58"/>
        <v>Exceeds Expectations</v>
      </c>
    </row>
    <row r="640" spans="1:15" x14ac:dyDescent="0.55000000000000004">
      <c r="A640" s="3">
        <v>1238911639</v>
      </c>
      <c r="B640" s="1" t="s">
        <v>14</v>
      </c>
      <c r="C640" s="6">
        <v>35209</v>
      </c>
      <c r="D640" s="6">
        <v>42226</v>
      </c>
      <c r="E640" s="6">
        <v>44636</v>
      </c>
      <c r="F640" s="6"/>
      <c r="G640" s="1" t="s">
        <v>68</v>
      </c>
      <c r="H640" s="2">
        <v>57850</v>
      </c>
      <c r="I640" s="7">
        <v>1</v>
      </c>
      <c r="J640" s="7">
        <v>1</v>
      </c>
      <c r="K640" s="7">
        <v>1</v>
      </c>
      <c r="L640" s="7">
        <v>1</v>
      </c>
      <c r="M640" s="7">
        <v>2</v>
      </c>
      <c r="N640" s="1">
        <f t="shared" si="59"/>
        <v>1</v>
      </c>
      <c r="O640" s="1" t="str">
        <f t="shared" si="58"/>
        <v>Below Expectations</v>
      </c>
    </row>
    <row r="641" spans="1:15" x14ac:dyDescent="0.55000000000000004">
      <c r="A641" s="3">
        <v>1238911640</v>
      </c>
      <c r="B641" s="1" t="s">
        <v>12</v>
      </c>
      <c r="C641" s="6">
        <v>35239</v>
      </c>
      <c r="D641" s="6">
        <v>42370</v>
      </c>
      <c r="E641" s="6"/>
      <c r="F641" s="6"/>
      <c r="G641" s="1" t="s">
        <v>285</v>
      </c>
      <c r="H641" s="2">
        <v>33008.75</v>
      </c>
      <c r="I641" s="7">
        <v>1</v>
      </c>
      <c r="J641" s="7">
        <v>3</v>
      </c>
      <c r="K641" s="7">
        <v>3</v>
      </c>
      <c r="L641" s="7">
        <v>3</v>
      </c>
      <c r="M641" s="7">
        <v>3</v>
      </c>
      <c r="N641" s="1">
        <f t="shared" si="59"/>
        <v>3</v>
      </c>
      <c r="O641" s="1" t="str">
        <f t="shared" si="58"/>
        <v>Exceeds Expectations</v>
      </c>
    </row>
    <row r="642" spans="1:15" x14ac:dyDescent="0.55000000000000004">
      <c r="A642" s="3">
        <v>1238911641</v>
      </c>
      <c r="B642" s="1" t="s">
        <v>14</v>
      </c>
      <c r="C642" s="6">
        <v>35243</v>
      </c>
      <c r="D642" s="6">
        <v>42342</v>
      </c>
      <c r="E642" s="6">
        <v>44541</v>
      </c>
      <c r="F642" s="15" t="str">
        <f t="shared" ref="F642:F643" ca="1" si="61">IF(E642="",DATEDIF(D642,TODAY(),"y")&amp; "Years" &amp;DATEDIF(D642,TODAY(),"ym")&amp; "Months"&amp;DATEDIF(D642,TODAY(),"md") &amp;"Days",DATEDIF(D642,E642,"y")&amp; "Years" &amp;DATEDIF(D642,E642,"ym")&amp; "Months"&amp;DATEDIF(D642,E642,"md") &amp;"Days")</f>
        <v>6Years0Months7Days</v>
      </c>
      <c r="G642" s="1" t="s">
        <v>172</v>
      </c>
      <c r="H642" s="2">
        <v>45084</v>
      </c>
      <c r="I642" s="7">
        <v>1</v>
      </c>
      <c r="J642" s="7">
        <v>3</v>
      </c>
      <c r="K642" s="7">
        <v>1</v>
      </c>
      <c r="L642" s="7">
        <v>3</v>
      </c>
      <c r="M642" s="7">
        <v>3</v>
      </c>
      <c r="N642" s="1">
        <f t="shared" si="59"/>
        <v>2</v>
      </c>
      <c r="O642" s="1" t="str">
        <f t="shared" si="58"/>
        <v>Meets Expectations</v>
      </c>
    </row>
    <row r="643" spans="1:15" x14ac:dyDescent="0.55000000000000004">
      <c r="A643" s="3">
        <v>1238911642</v>
      </c>
      <c r="B643" s="1" t="s">
        <v>14</v>
      </c>
      <c r="C643" s="6">
        <v>35124</v>
      </c>
      <c r="D643" s="6">
        <v>42342</v>
      </c>
      <c r="E643" s="6"/>
      <c r="F643" s="15" t="str">
        <f t="shared" ca="1" si="61"/>
        <v>10Years5Months9Days</v>
      </c>
      <c r="G643" s="1" t="s">
        <v>172</v>
      </c>
      <c r="H643" s="2">
        <v>45084</v>
      </c>
      <c r="I643" s="7">
        <v>2</v>
      </c>
      <c r="J643" s="7">
        <v>3</v>
      </c>
      <c r="K643" s="7">
        <v>3</v>
      </c>
      <c r="L643" s="7">
        <v>3</v>
      </c>
      <c r="M643" s="7">
        <v>3</v>
      </c>
      <c r="N643" s="1">
        <f t="shared" si="59"/>
        <v>3</v>
      </c>
      <c r="O643" s="1" t="str">
        <f t="shared" si="58"/>
        <v>Exceeds Expectations</v>
      </c>
    </row>
    <row r="644" spans="1:15" x14ac:dyDescent="0.55000000000000004">
      <c r="A644" s="3">
        <v>1238911643</v>
      </c>
      <c r="B644" s="1" t="s">
        <v>14</v>
      </c>
      <c r="C644" s="6">
        <v>35246</v>
      </c>
      <c r="D644" s="6">
        <v>45056</v>
      </c>
      <c r="E644" s="6"/>
      <c r="F644" s="6"/>
      <c r="G644" s="1" t="s">
        <v>48</v>
      </c>
      <c r="H644" s="2">
        <v>53025.05</v>
      </c>
      <c r="I644" s="7">
        <v>3</v>
      </c>
      <c r="J644" s="7">
        <v>2</v>
      </c>
      <c r="K644" s="7">
        <v>2</v>
      </c>
      <c r="L644" s="7">
        <v>3</v>
      </c>
      <c r="M644" s="7">
        <v>3</v>
      </c>
      <c r="N644" s="1">
        <f t="shared" si="59"/>
        <v>3</v>
      </c>
      <c r="O644" s="1" t="str">
        <f t="shared" ref="O644:O707" si="62">IF(N644=1,"Below Expectations",IF(N644=2,"Meets Expectations","Exceeds Expectations"))</f>
        <v>Exceeds Expectations</v>
      </c>
    </row>
    <row r="645" spans="1:15" x14ac:dyDescent="0.55000000000000004">
      <c r="A645" s="3">
        <v>1238911644</v>
      </c>
      <c r="B645" s="1" t="s">
        <v>12</v>
      </c>
      <c r="C645" s="6">
        <v>35402</v>
      </c>
      <c r="D645" s="6">
        <v>44294</v>
      </c>
      <c r="E645" s="6"/>
      <c r="F645" s="6"/>
      <c r="G645" s="1" t="s">
        <v>286</v>
      </c>
      <c r="H645" s="2">
        <v>42666</v>
      </c>
      <c r="I645" s="7">
        <v>1</v>
      </c>
      <c r="J645" s="7">
        <v>2</v>
      </c>
      <c r="K645" s="7">
        <v>3</v>
      </c>
      <c r="L645" s="7">
        <v>3</v>
      </c>
      <c r="M645" s="7">
        <v>3</v>
      </c>
      <c r="N645" s="1">
        <f t="shared" si="59"/>
        <v>2</v>
      </c>
      <c r="O645" s="1" t="str">
        <f t="shared" si="62"/>
        <v>Meets Expectations</v>
      </c>
    </row>
    <row r="646" spans="1:15" x14ac:dyDescent="0.55000000000000004">
      <c r="A646" s="3">
        <v>1238911645</v>
      </c>
      <c r="B646" s="1" t="s">
        <v>14</v>
      </c>
      <c r="C646" s="6">
        <v>35253</v>
      </c>
      <c r="D646" s="6">
        <v>41902</v>
      </c>
      <c r="E646" s="6">
        <v>45665</v>
      </c>
      <c r="F646" s="6"/>
      <c r="G646" s="1" t="s">
        <v>68</v>
      </c>
      <c r="H646" s="2">
        <v>55743.75</v>
      </c>
      <c r="I646" s="7">
        <v>3</v>
      </c>
      <c r="J646" s="7">
        <v>2</v>
      </c>
      <c r="K646" s="7">
        <v>2</v>
      </c>
      <c r="L646" s="7">
        <v>3</v>
      </c>
      <c r="M646" s="7">
        <v>2</v>
      </c>
      <c r="N646" s="1">
        <f t="shared" si="59"/>
        <v>2</v>
      </c>
      <c r="O646" s="1" t="str">
        <f t="shared" si="62"/>
        <v>Meets Expectations</v>
      </c>
    </row>
    <row r="647" spans="1:15" x14ac:dyDescent="0.55000000000000004">
      <c r="A647" s="3">
        <v>1238911646</v>
      </c>
      <c r="B647" s="1" t="s">
        <v>12</v>
      </c>
      <c r="C647" s="6">
        <v>35281</v>
      </c>
      <c r="D647" s="6">
        <v>44970</v>
      </c>
      <c r="E647" s="6"/>
      <c r="F647" s="6"/>
      <c r="G647" s="1" t="s">
        <v>74</v>
      </c>
      <c r="H647" s="2">
        <v>47502.5</v>
      </c>
      <c r="I647" s="7">
        <v>2</v>
      </c>
      <c r="J647" s="7">
        <v>3</v>
      </c>
      <c r="K647" s="7">
        <v>3</v>
      </c>
      <c r="L647" s="7">
        <v>3</v>
      </c>
      <c r="M647" s="7">
        <v>2</v>
      </c>
      <c r="N647" s="1">
        <f t="shared" si="59"/>
        <v>3</v>
      </c>
      <c r="O647" s="1" t="str">
        <f t="shared" si="62"/>
        <v>Exceeds Expectations</v>
      </c>
    </row>
    <row r="648" spans="1:15" x14ac:dyDescent="0.55000000000000004">
      <c r="A648" s="3">
        <v>1238911647</v>
      </c>
      <c r="B648" s="1" t="s">
        <v>12</v>
      </c>
      <c r="C648" s="6">
        <v>35344</v>
      </c>
      <c r="D648" s="6">
        <v>44325</v>
      </c>
      <c r="E648" s="6"/>
      <c r="F648" s="6"/>
      <c r="G648" s="1" t="s">
        <v>283</v>
      </c>
      <c r="H648" s="2">
        <v>78750.100000000006</v>
      </c>
      <c r="I648" s="7">
        <v>3</v>
      </c>
      <c r="J648" s="7">
        <v>1</v>
      </c>
      <c r="K648" s="7">
        <v>1</v>
      </c>
      <c r="L648" s="7">
        <v>1</v>
      </c>
      <c r="M648" s="7">
        <v>1</v>
      </c>
      <c r="N648" s="1">
        <f t="shared" ref="N648:N711" si="63">ROUND(AVERAGE(I648:M648),0)</f>
        <v>1</v>
      </c>
      <c r="O648" s="1" t="str">
        <f t="shared" si="62"/>
        <v>Below Expectations</v>
      </c>
    </row>
    <row r="649" spans="1:15" x14ac:dyDescent="0.55000000000000004">
      <c r="A649" s="3">
        <v>1238911648</v>
      </c>
      <c r="B649" s="1" t="s">
        <v>14</v>
      </c>
      <c r="C649" s="6">
        <v>35395</v>
      </c>
      <c r="D649" s="6">
        <v>43378</v>
      </c>
      <c r="E649" s="6">
        <v>44825</v>
      </c>
      <c r="F649" s="6"/>
      <c r="G649" s="1" t="s">
        <v>183</v>
      </c>
      <c r="H649" s="2">
        <v>66912.5</v>
      </c>
      <c r="I649" s="7">
        <v>3</v>
      </c>
      <c r="J649" s="7">
        <v>3</v>
      </c>
      <c r="K649" s="7">
        <v>1</v>
      </c>
      <c r="L649" s="7">
        <v>2</v>
      </c>
      <c r="M649" s="7">
        <v>3</v>
      </c>
      <c r="N649" s="1">
        <f t="shared" si="63"/>
        <v>2</v>
      </c>
      <c r="O649" s="1" t="str">
        <f t="shared" si="62"/>
        <v>Meets Expectations</v>
      </c>
    </row>
    <row r="650" spans="1:15" x14ac:dyDescent="0.55000000000000004">
      <c r="A650" s="3">
        <v>1238911649</v>
      </c>
      <c r="B650" s="1" t="s">
        <v>12</v>
      </c>
      <c r="C650" s="6">
        <v>35523</v>
      </c>
      <c r="D650" s="6">
        <v>44833</v>
      </c>
      <c r="E650" s="6"/>
      <c r="F650" s="6"/>
      <c r="G650" s="1" t="s">
        <v>63</v>
      </c>
      <c r="H650" s="2">
        <v>75000</v>
      </c>
      <c r="I650" s="7">
        <v>2</v>
      </c>
      <c r="J650" s="7">
        <v>2</v>
      </c>
      <c r="K650" s="7">
        <v>3</v>
      </c>
      <c r="L650" s="7">
        <v>2</v>
      </c>
      <c r="M650" s="7">
        <v>3</v>
      </c>
      <c r="N650" s="1">
        <f t="shared" si="63"/>
        <v>2</v>
      </c>
      <c r="O650" s="1" t="str">
        <f t="shared" si="62"/>
        <v>Meets Expectations</v>
      </c>
    </row>
    <row r="651" spans="1:15" x14ac:dyDescent="0.55000000000000004">
      <c r="A651" s="3">
        <v>1238911650</v>
      </c>
      <c r="B651" s="1" t="s">
        <v>12</v>
      </c>
      <c r="C651" s="6">
        <v>35471</v>
      </c>
      <c r="D651" s="6">
        <v>45028</v>
      </c>
      <c r="E651" s="6"/>
      <c r="F651" s="6"/>
      <c r="G651" s="1" t="s">
        <v>287</v>
      </c>
      <c r="H651" s="2">
        <v>62426</v>
      </c>
      <c r="I651" s="7">
        <v>2</v>
      </c>
      <c r="J651" s="7">
        <v>2</v>
      </c>
      <c r="K651" s="7">
        <v>2</v>
      </c>
      <c r="L651" s="7">
        <v>2</v>
      </c>
      <c r="M651" s="7">
        <v>1</v>
      </c>
      <c r="N651" s="1">
        <f t="shared" si="63"/>
        <v>2</v>
      </c>
      <c r="O651" s="1" t="str">
        <f t="shared" si="62"/>
        <v>Meets Expectations</v>
      </c>
    </row>
    <row r="652" spans="1:15" x14ac:dyDescent="0.55000000000000004">
      <c r="A652" s="3">
        <v>1238911651</v>
      </c>
      <c r="B652" s="1" t="s">
        <v>12</v>
      </c>
      <c r="C652" s="6">
        <v>35582</v>
      </c>
      <c r="D652" s="6">
        <v>42652</v>
      </c>
      <c r="E652" s="6">
        <v>45028</v>
      </c>
      <c r="F652" s="6"/>
      <c r="G652" s="1" t="s">
        <v>287</v>
      </c>
      <c r="H652" s="2">
        <v>62426</v>
      </c>
      <c r="I652" s="7">
        <v>1</v>
      </c>
      <c r="J652" s="7">
        <v>3</v>
      </c>
      <c r="K652" s="7">
        <v>1</v>
      </c>
      <c r="L652" s="7">
        <v>2</v>
      </c>
      <c r="M652" s="7">
        <v>3</v>
      </c>
      <c r="N652" s="1">
        <f t="shared" si="63"/>
        <v>2</v>
      </c>
      <c r="O652" s="1" t="str">
        <f t="shared" si="62"/>
        <v>Meets Expectations</v>
      </c>
    </row>
    <row r="653" spans="1:15" x14ac:dyDescent="0.55000000000000004">
      <c r="A653" s="3">
        <v>1238911652</v>
      </c>
      <c r="B653" s="1" t="s">
        <v>14</v>
      </c>
      <c r="C653" s="6">
        <v>35483</v>
      </c>
      <c r="D653" s="6">
        <v>43517</v>
      </c>
      <c r="E653" s="6"/>
      <c r="F653" s="15" t="str">
        <f t="shared" ref="F653:F655" ca="1" si="64">IF(E653="",DATEDIF(D653,TODAY(),"y")&amp; "Years" &amp;DATEDIF(D653,TODAY(),"ym")&amp; "Months"&amp;DATEDIF(D653,TODAY(),"md") &amp;"Days",DATEDIF(D653,E653,"y")&amp; "Years" &amp;DATEDIF(D653,E653,"ym")&amp; "Months"&amp;DATEDIF(D653,E653,"md") &amp;"Days")</f>
        <v>7Years2Months22Days</v>
      </c>
      <c r="G653" s="1" t="s">
        <v>44</v>
      </c>
      <c r="H653" s="2">
        <v>31278</v>
      </c>
      <c r="I653" s="7">
        <v>3</v>
      </c>
      <c r="J653" s="7">
        <v>1</v>
      </c>
      <c r="K653" s="7">
        <v>3</v>
      </c>
      <c r="L653" s="7">
        <v>3</v>
      </c>
      <c r="M653" s="7">
        <v>1</v>
      </c>
      <c r="N653" s="1">
        <f t="shared" si="63"/>
        <v>2</v>
      </c>
      <c r="O653" s="1" t="str">
        <f t="shared" si="62"/>
        <v>Meets Expectations</v>
      </c>
    </row>
    <row r="654" spans="1:15" x14ac:dyDescent="0.55000000000000004">
      <c r="A654" s="3">
        <v>1238911653</v>
      </c>
      <c r="B654" s="1" t="s">
        <v>14</v>
      </c>
      <c r="C654" s="6">
        <v>35512</v>
      </c>
      <c r="D654" s="6">
        <v>42314</v>
      </c>
      <c r="E654" s="6"/>
      <c r="F654" s="15" t="str">
        <f t="shared" ca="1" si="64"/>
        <v>10Years6Months7Days</v>
      </c>
      <c r="G654" s="1" t="s">
        <v>247</v>
      </c>
      <c r="H654" s="2">
        <v>42900</v>
      </c>
      <c r="I654" s="7">
        <v>3</v>
      </c>
      <c r="J654" s="7">
        <v>1</v>
      </c>
      <c r="K654" s="7">
        <v>2</v>
      </c>
      <c r="L654" s="7">
        <v>2</v>
      </c>
      <c r="M654" s="7">
        <v>1</v>
      </c>
      <c r="N654" s="1">
        <f t="shared" si="63"/>
        <v>2</v>
      </c>
      <c r="O654" s="1" t="str">
        <f t="shared" si="62"/>
        <v>Meets Expectations</v>
      </c>
    </row>
    <row r="655" spans="1:15" x14ac:dyDescent="0.55000000000000004">
      <c r="A655" s="3">
        <v>1238911654</v>
      </c>
      <c r="B655" s="1" t="s">
        <v>14</v>
      </c>
      <c r="C655" s="6">
        <v>35526</v>
      </c>
      <c r="D655" s="6">
        <v>44819</v>
      </c>
      <c r="E655" s="6"/>
      <c r="F655" s="15" t="str">
        <f t="shared" ca="1" si="64"/>
        <v>3Years7Months28Days</v>
      </c>
      <c r="G655" s="1" t="s">
        <v>25</v>
      </c>
      <c r="H655" s="2">
        <v>26520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1">
        <f t="shared" si="63"/>
        <v>2</v>
      </c>
      <c r="O655" s="1" t="str">
        <f t="shared" si="62"/>
        <v>Meets Expectations</v>
      </c>
    </row>
    <row r="656" spans="1:15" x14ac:dyDescent="0.55000000000000004">
      <c r="A656" s="3">
        <v>1238911655</v>
      </c>
      <c r="B656" s="1" t="s">
        <v>12</v>
      </c>
      <c r="C656" s="6">
        <v>35526</v>
      </c>
      <c r="D656" s="6">
        <v>44633</v>
      </c>
      <c r="E656" s="6"/>
      <c r="F656" s="6"/>
      <c r="G656" s="1" t="s">
        <v>288</v>
      </c>
      <c r="H656" s="2">
        <v>56108</v>
      </c>
      <c r="I656" s="7">
        <v>3</v>
      </c>
      <c r="J656" s="7">
        <v>3</v>
      </c>
      <c r="K656" s="7">
        <v>1</v>
      </c>
      <c r="L656" s="7">
        <v>2</v>
      </c>
      <c r="M656" s="7">
        <v>1</v>
      </c>
      <c r="N656" s="1">
        <f t="shared" si="63"/>
        <v>2</v>
      </c>
      <c r="O656" s="1" t="str">
        <f t="shared" si="62"/>
        <v>Meets Expectations</v>
      </c>
    </row>
    <row r="657" spans="1:15" x14ac:dyDescent="0.55000000000000004">
      <c r="A657" s="3">
        <v>1238911656</v>
      </c>
      <c r="B657" s="1" t="s">
        <v>12</v>
      </c>
      <c r="C657" s="6">
        <v>35597</v>
      </c>
      <c r="D657" s="6">
        <v>44441</v>
      </c>
      <c r="E657" s="6"/>
      <c r="F657" s="6"/>
      <c r="G657" s="1" t="s">
        <v>63</v>
      </c>
      <c r="H657" s="2">
        <v>77782.574999999997</v>
      </c>
      <c r="I657" s="7">
        <v>3</v>
      </c>
      <c r="J657" s="7">
        <v>3</v>
      </c>
      <c r="K657" s="7">
        <v>3</v>
      </c>
      <c r="L657" s="7">
        <v>2</v>
      </c>
      <c r="M657" s="7">
        <v>3</v>
      </c>
      <c r="N657" s="1">
        <f t="shared" si="63"/>
        <v>3</v>
      </c>
      <c r="O657" s="1" t="str">
        <f t="shared" si="62"/>
        <v>Exceeds Expectations</v>
      </c>
    </row>
    <row r="658" spans="1:15" x14ac:dyDescent="0.55000000000000004">
      <c r="A658" s="3">
        <v>1238911657</v>
      </c>
      <c r="B658" s="1" t="s">
        <v>14</v>
      </c>
      <c r="C658" s="6">
        <v>35609</v>
      </c>
      <c r="D658" s="6">
        <v>42801</v>
      </c>
      <c r="E658" s="6"/>
      <c r="F658" s="15" t="str">
        <f ca="1">IF(E658="",DATEDIF(D658,TODAY(),"y")&amp; "Years" &amp;DATEDIF(D658,TODAY(),"ym")&amp; "Months"&amp;DATEDIF(D658,TODAY(),"md") &amp;"Days",DATEDIF(D658,E658,"y")&amp; "Years" &amp;DATEDIF(D658,E658,"ym")&amp; "Months"&amp;DATEDIF(D658,E658,"md") &amp;"Days")</f>
        <v>9Years2Months6Days</v>
      </c>
      <c r="G658" s="1" t="s">
        <v>44</v>
      </c>
      <c r="H658" s="2">
        <v>31200</v>
      </c>
      <c r="I658" s="7">
        <v>3</v>
      </c>
      <c r="J658" s="7">
        <v>1</v>
      </c>
      <c r="K658" s="7">
        <v>2</v>
      </c>
      <c r="L658" s="7">
        <v>1</v>
      </c>
      <c r="M658" s="7">
        <v>2</v>
      </c>
      <c r="N658" s="1">
        <f t="shared" si="63"/>
        <v>2</v>
      </c>
      <c r="O658" s="1" t="str">
        <f t="shared" si="62"/>
        <v>Meets Expectations</v>
      </c>
    </row>
    <row r="659" spans="1:15" x14ac:dyDescent="0.55000000000000004">
      <c r="A659" s="3">
        <v>1238911658</v>
      </c>
      <c r="B659" s="1" t="s">
        <v>14</v>
      </c>
      <c r="C659" s="6">
        <v>35658</v>
      </c>
      <c r="D659" s="6">
        <v>45016</v>
      </c>
      <c r="E659" s="6">
        <v>45203</v>
      </c>
      <c r="F659" s="6"/>
      <c r="G659" s="1" t="s">
        <v>289</v>
      </c>
      <c r="H659" s="2">
        <v>68744</v>
      </c>
      <c r="I659" s="7">
        <v>1</v>
      </c>
      <c r="J659" s="7">
        <v>2</v>
      </c>
      <c r="K659" s="7">
        <v>3</v>
      </c>
      <c r="L659" s="7">
        <v>1</v>
      </c>
      <c r="M659" s="7">
        <v>3</v>
      </c>
      <c r="N659" s="1">
        <f t="shared" si="63"/>
        <v>2</v>
      </c>
      <c r="O659" s="1" t="str">
        <f t="shared" si="62"/>
        <v>Meets Expectations</v>
      </c>
    </row>
    <row r="660" spans="1:15" x14ac:dyDescent="0.55000000000000004">
      <c r="A660" s="3">
        <v>1238911659</v>
      </c>
      <c r="B660" s="1" t="s">
        <v>12</v>
      </c>
      <c r="C660" s="6">
        <v>35741</v>
      </c>
      <c r="D660" s="6">
        <v>44370</v>
      </c>
      <c r="E660" s="6"/>
      <c r="F660" s="6"/>
      <c r="G660" s="1" t="s">
        <v>134</v>
      </c>
      <c r="H660" s="2">
        <v>57174</v>
      </c>
      <c r="I660" s="7">
        <v>1</v>
      </c>
      <c r="J660" s="7">
        <v>2</v>
      </c>
      <c r="K660" s="7">
        <v>3</v>
      </c>
      <c r="L660" s="7">
        <v>3</v>
      </c>
      <c r="M660" s="7">
        <v>1</v>
      </c>
      <c r="N660" s="1">
        <f t="shared" si="63"/>
        <v>2</v>
      </c>
      <c r="O660" s="1" t="str">
        <f t="shared" si="62"/>
        <v>Meets Expectations</v>
      </c>
    </row>
    <row r="661" spans="1:15" x14ac:dyDescent="0.55000000000000004">
      <c r="A661" s="3">
        <v>1238911660</v>
      </c>
      <c r="B661" s="1" t="s">
        <v>14</v>
      </c>
      <c r="C661" s="6">
        <v>35642</v>
      </c>
      <c r="D661" s="6">
        <v>43869</v>
      </c>
      <c r="E661" s="6"/>
      <c r="F661" s="15" t="str">
        <f ca="1">IF(E661="",DATEDIF(D661,TODAY(),"y")&amp; "Years" &amp;DATEDIF(D661,TODAY(),"ym")&amp; "Months"&amp;DATEDIF(D661,TODAY(),"md") &amp;"Days",DATEDIF(D661,E661,"y")&amp; "Years" &amp;DATEDIF(D661,E661,"ym")&amp; "Months"&amp;DATEDIF(D661,E661,"md") &amp;"Days")</f>
        <v>6Years3Months5Days</v>
      </c>
      <c r="G661" s="1" t="s">
        <v>81</v>
      </c>
      <c r="H661" s="2">
        <v>31486.25</v>
      </c>
      <c r="I661" s="7">
        <v>3</v>
      </c>
      <c r="J661" s="7">
        <v>1</v>
      </c>
      <c r="K661" s="7">
        <v>1</v>
      </c>
      <c r="L661" s="7">
        <v>1</v>
      </c>
      <c r="M661" s="7">
        <v>3</v>
      </c>
      <c r="N661" s="1">
        <f t="shared" si="63"/>
        <v>2</v>
      </c>
      <c r="O661" s="1" t="str">
        <f t="shared" si="62"/>
        <v>Meets Expectations</v>
      </c>
    </row>
    <row r="662" spans="1:15" x14ac:dyDescent="0.55000000000000004">
      <c r="A662" s="3">
        <v>1238911661</v>
      </c>
      <c r="B662" s="1" t="s">
        <v>14</v>
      </c>
      <c r="C662" s="6">
        <v>35717</v>
      </c>
      <c r="D662" s="6">
        <v>44570</v>
      </c>
      <c r="E662" s="6"/>
      <c r="F662" s="6"/>
      <c r="G662" s="1" t="s">
        <v>290</v>
      </c>
      <c r="H662" s="2">
        <v>70125</v>
      </c>
      <c r="I662" s="7">
        <v>2</v>
      </c>
      <c r="J662" s="7">
        <v>1</v>
      </c>
      <c r="K662" s="7">
        <v>2</v>
      </c>
      <c r="L662" s="7">
        <v>1</v>
      </c>
      <c r="M662" s="7">
        <v>1</v>
      </c>
      <c r="N662" s="1">
        <f t="shared" si="63"/>
        <v>1</v>
      </c>
      <c r="O662" s="1" t="str">
        <f t="shared" si="62"/>
        <v>Below Expectations</v>
      </c>
    </row>
    <row r="663" spans="1:15" x14ac:dyDescent="0.55000000000000004">
      <c r="A663" s="3">
        <v>1238911662</v>
      </c>
      <c r="B663" s="1" t="s">
        <v>14</v>
      </c>
      <c r="C663" s="6">
        <v>35583</v>
      </c>
      <c r="D663" s="6">
        <v>42642</v>
      </c>
      <c r="E663" s="6">
        <v>44958</v>
      </c>
      <c r="F663" s="6"/>
      <c r="G663" s="1" t="s">
        <v>280</v>
      </c>
      <c r="H663" s="2">
        <v>51506</v>
      </c>
      <c r="I663" s="7">
        <v>2</v>
      </c>
      <c r="J663" s="7">
        <v>3</v>
      </c>
      <c r="K663" s="7">
        <v>1</v>
      </c>
      <c r="L663" s="7">
        <v>3</v>
      </c>
      <c r="M663" s="7">
        <v>3</v>
      </c>
      <c r="N663" s="1">
        <f t="shared" si="63"/>
        <v>2</v>
      </c>
      <c r="O663" s="1" t="str">
        <f t="shared" si="62"/>
        <v>Meets Expectations</v>
      </c>
    </row>
    <row r="664" spans="1:15" x14ac:dyDescent="0.55000000000000004">
      <c r="A664" s="3">
        <v>1238911663</v>
      </c>
      <c r="B664" s="1" t="s">
        <v>12</v>
      </c>
      <c r="C664" s="6">
        <v>35734</v>
      </c>
      <c r="D664" s="6">
        <v>42541</v>
      </c>
      <c r="E664" s="6"/>
      <c r="F664" s="6"/>
      <c r="G664" s="1" t="s">
        <v>280</v>
      </c>
      <c r="H664" s="2">
        <v>57200</v>
      </c>
      <c r="I664" s="7">
        <v>2</v>
      </c>
      <c r="J664" s="7">
        <v>3</v>
      </c>
      <c r="K664" s="7">
        <v>3</v>
      </c>
      <c r="L664" s="7">
        <v>2</v>
      </c>
      <c r="M664" s="7">
        <v>3</v>
      </c>
      <c r="N664" s="1">
        <f t="shared" si="63"/>
        <v>3</v>
      </c>
      <c r="O664" s="1" t="str">
        <f t="shared" si="62"/>
        <v>Exceeds Expectations</v>
      </c>
    </row>
    <row r="665" spans="1:15" x14ac:dyDescent="0.55000000000000004">
      <c r="A665" s="3">
        <v>1238911664</v>
      </c>
      <c r="B665" s="1" t="s">
        <v>14</v>
      </c>
      <c r="C665" s="6">
        <v>35428</v>
      </c>
      <c r="D665" s="6">
        <v>44807</v>
      </c>
      <c r="E665" s="6"/>
      <c r="F665" s="6"/>
      <c r="G665" s="1" t="s">
        <v>134</v>
      </c>
      <c r="H665" s="2">
        <v>63908</v>
      </c>
      <c r="I665" s="7">
        <v>2</v>
      </c>
      <c r="J665" s="7">
        <v>2</v>
      </c>
      <c r="K665" s="7">
        <v>1</v>
      </c>
      <c r="L665" s="7">
        <v>2</v>
      </c>
      <c r="M665" s="7">
        <v>2</v>
      </c>
      <c r="N665" s="1">
        <f t="shared" si="63"/>
        <v>2</v>
      </c>
      <c r="O665" s="1" t="str">
        <f t="shared" si="62"/>
        <v>Meets Expectations</v>
      </c>
    </row>
    <row r="666" spans="1:15" x14ac:dyDescent="0.55000000000000004">
      <c r="A666" s="3">
        <v>1238911665</v>
      </c>
      <c r="B666" s="1" t="s">
        <v>14</v>
      </c>
      <c r="C666" s="6">
        <v>35745</v>
      </c>
      <c r="D666" s="6">
        <v>44373</v>
      </c>
      <c r="E666" s="6"/>
      <c r="F666" s="6"/>
      <c r="G666" s="1" t="s">
        <v>289</v>
      </c>
      <c r="H666" s="2">
        <v>68536</v>
      </c>
      <c r="I666" s="7">
        <v>2</v>
      </c>
      <c r="J666" s="7">
        <v>1</v>
      </c>
      <c r="K666" s="7">
        <v>2</v>
      </c>
      <c r="L666" s="7">
        <v>1</v>
      </c>
      <c r="M666" s="7">
        <v>2</v>
      </c>
      <c r="N666" s="1">
        <f t="shared" si="63"/>
        <v>2</v>
      </c>
      <c r="O666" s="1" t="str">
        <f t="shared" si="62"/>
        <v>Meets Expectations</v>
      </c>
    </row>
    <row r="667" spans="1:15" x14ac:dyDescent="0.55000000000000004">
      <c r="A667" s="3">
        <v>1238911666</v>
      </c>
      <c r="B667" s="1" t="s">
        <v>14</v>
      </c>
      <c r="C667" s="6">
        <v>35763</v>
      </c>
      <c r="D667" s="6">
        <v>44399</v>
      </c>
      <c r="E667" s="6"/>
      <c r="F667" s="15" t="str">
        <f ca="1">IF(E667="",DATEDIF(D667,TODAY(),"y")&amp; "Years" &amp;DATEDIF(D667,TODAY(),"ym")&amp; "Months"&amp;DATEDIF(D667,TODAY(),"md") &amp;"Days",DATEDIF(D667,E667,"y")&amp; "Years" &amp;DATEDIF(D667,E667,"ym")&amp; "Months"&amp;DATEDIF(D667,E667,"md") &amp;"Days")</f>
        <v>4Years9Months21Days</v>
      </c>
      <c r="G667" s="1" t="s">
        <v>44</v>
      </c>
      <c r="H667" s="2">
        <v>29822</v>
      </c>
      <c r="I667" s="7">
        <v>2</v>
      </c>
      <c r="J667" s="7">
        <v>3</v>
      </c>
      <c r="K667" s="7">
        <v>3</v>
      </c>
      <c r="L667" s="7">
        <v>2</v>
      </c>
      <c r="M667" s="7">
        <v>3</v>
      </c>
      <c r="N667" s="1">
        <f t="shared" si="63"/>
        <v>3</v>
      </c>
      <c r="O667" s="1" t="str">
        <f t="shared" si="62"/>
        <v>Exceeds Expectations</v>
      </c>
    </row>
    <row r="668" spans="1:15" x14ac:dyDescent="0.55000000000000004">
      <c r="A668" s="3">
        <v>1238911667</v>
      </c>
      <c r="B668" s="1" t="s">
        <v>14</v>
      </c>
      <c r="C668" s="6">
        <v>35509</v>
      </c>
      <c r="D668" s="6">
        <v>44822</v>
      </c>
      <c r="E668" s="6"/>
      <c r="F668" s="6"/>
      <c r="G668" s="1" t="s">
        <v>134</v>
      </c>
      <c r="H668" s="2">
        <v>62500</v>
      </c>
      <c r="I668" s="7">
        <v>3</v>
      </c>
      <c r="J668" s="7">
        <v>3</v>
      </c>
      <c r="K668" s="7">
        <v>1</v>
      </c>
      <c r="L668" s="7">
        <v>1</v>
      </c>
      <c r="M668" s="7">
        <v>3</v>
      </c>
      <c r="N668" s="1">
        <f t="shared" si="63"/>
        <v>2</v>
      </c>
      <c r="O668" s="1" t="str">
        <f t="shared" si="62"/>
        <v>Meets Expectations</v>
      </c>
    </row>
    <row r="669" spans="1:15" x14ac:dyDescent="0.55000000000000004">
      <c r="A669" s="3">
        <v>1238911668</v>
      </c>
      <c r="B669" s="1" t="s">
        <v>12</v>
      </c>
      <c r="C669" s="6">
        <v>35915</v>
      </c>
      <c r="D669" s="6">
        <v>44067</v>
      </c>
      <c r="E669" s="6"/>
      <c r="F669" s="6"/>
      <c r="G669" s="1" t="s">
        <v>291</v>
      </c>
      <c r="H669" s="2">
        <v>39000</v>
      </c>
      <c r="I669" s="7">
        <v>2</v>
      </c>
      <c r="J669" s="7">
        <v>3</v>
      </c>
      <c r="K669" s="7">
        <v>3</v>
      </c>
      <c r="L669" s="7">
        <v>1</v>
      </c>
      <c r="M669" s="7">
        <v>1</v>
      </c>
      <c r="N669" s="1">
        <f t="shared" si="63"/>
        <v>2</v>
      </c>
      <c r="O669" s="1" t="str">
        <f t="shared" si="62"/>
        <v>Meets Expectations</v>
      </c>
    </row>
    <row r="670" spans="1:15" x14ac:dyDescent="0.55000000000000004">
      <c r="A670" s="3">
        <v>1238911669</v>
      </c>
      <c r="B670" s="1" t="s">
        <v>12</v>
      </c>
      <c r="C670" s="6">
        <v>35926</v>
      </c>
      <c r="D670" s="6">
        <v>43631</v>
      </c>
      <c r="E670" s="6"/>
      <c r="F670" s="6"/>
      <c r="G670" s="1" t="s">
        <v>13</v>
      </c>
      <c r="H670" s="2">
        <v>31200</v>
      </c>
      <c r="I670" s="7">
        <v>3</v>
      </c>
      <c r="J670" s="7">
        <v>3</v>
      </c>
      <c r="K670" s="7">
        <v>2</v>
      </c>
      <c r="L670" s="7">
        <v>1</v>
      </c>
      <c r="M670" s="7">
        <v>3</v>
      </c>
      <c r="N670" s="1">
        <f t="shared" si="63"/>
        <v>2</v>
      </c>
      <c r="O670" s="1" t="str">
        <f t="shared" si="62"/>
        <v>Meets Expectations</v>
      </c>
    </row>
    <row r="671" spans="1:15" x14ac:dyDescent="0.55000000000000004">
      <c r="A671" s="3">
        <v>1238911670</v>
      </c>
      <c r="B671" s="1" t="s">
        <v>12</v>
      </c>
      <c r="C671" s="6">
        <v>36011</v>
      </c>
      <c r="D671" s="6">
        <v>44919</v>
      </c>
      <c r="E671" s="6"/>
      <c r="F671" s="6"/>
      <c r="G671" s="1" t="s">
        <v>292</v>
      </c>
      <c r="H671" s="2">
        <v>52000</v>
      </c>
      <c r="I671" s="7">
        <v>1</v>
      </c>
      <c r="J671" s="7">
        <v>3</v>
      </c>
      <c r="K671" s="7">
        <v>3</v>
      </c>
      <c r="L671" s="7">
        <v>3</v>
      </c>
      <c r="M671" s="7">
        <v>1</v>
      </c>
      <c r="N671" s="1">
        <f t="shared" si="63"/>
        <v>2</v>
      </c>
      <c r="O671" s="1" t="str">
        <f t="shared" si="62"/>
        <v>Meets Expectations</v>
      </c>
    </row>
    <row r="672" spans="1:15" x14ac:dyDescent="0.55000000000000004">
      <c r="A672" s="3">
        <v>1238911671</v>
      </c>
      <c r="B672" s="1" t="s">
        <v>14</v>
      </c>
      <c r="C672" s="6">
        <v>35960</v>
      </c>
      <c r="D672" s="6">
        <v>44393</v>
      </c>
      <c r="E672" s="6">
        <v>44919</v>
      </c>
      <c r="F672" s="6"/>
      <c r="G672" s="1" t="s">
        <v>292</v>
      </c>
      <c r="H672" s="2">
        <v>52000</v>
      </c>
      <c r="I672" s="7">
        <v>2</v>
      </c>
      <c r="J672" s="7">
        <v>3</v>
      </c>
      <c r="K672" s="7">
        <v>3</v>
      </c>
      <c r="L672" s="7">
        <v>1</v>
      </c>
      <c r="M672" s="7">
        <v>1</v>
      </c>
      <c r="N672" s="1">
        <f t="shared" si="63"/>
        <v>2</v>
      </c>
      <c r="O672" s="1" t="str">
        <f t="shared" si="62"/>
        <v>Meets Expectations</v>
      </c>
    </row>
    <row r="673" spans="1:15" x14ac:dyDescent="0.55000000000000004">
      <c r="A673" s="3">
        <v>1238911672</v>
      </c>
      <c r="B673" s="1" t="s">
        <v>14</v>
      </c>
      <c r="C673" s="6">
        <v>35989</v>
      </c>
      <c r="D673" s="6">
        <v>45089</v>
      </c>
      <c r="E673" s="6"/>
      <c r="F673" s="6"/>
      <c r="G673" s="1" t="s">
        <v>134</v>
      </c>
      <c r="H673" s="2">
        <v>62500</v>
      </c>
      <c r="I673" s="7">
        <v>3</v>
      </c>
      <c r="J673" s="7">
        <v>1</v>
      </c>
      <c r="K673" s="7">
        <v>2</v>
      </c>
      <c r="L673" s="7">
        <v>2</v>
      </c>
      <c r="M673" s="7">
        <v>2</v>
      </c>
      <c r="N673" s="1">
        <f t="shared" si="63"/>
        <v>2</v>
      </c>
      <c r="O673" s="1" t="str">
        <f t="shared" si="62"/>
        <v>Meets Expectations</v>
      </c>
    </row>
    <row r="674" spans="1:15" x14ac:dyDescent="0.55000000000000004">
      <c r="A674" s="3">
        <v>1238911673</v>
      </c>
      <c r="B674" s="1" t="s">
        <v>12</v>
      </c>
      <c r="C674" s="6">
        <v>36035</v>
      </c>
      <c r="D674" s="6">
        <v>42905</v>
      </c>
      <c r="E674" s="6"/>
      <c r="F674" s="6"/>
      <c r="G674" s="1" t="s">
        <v>33</v>
      </c>
      <c r="H674" s="2">
        <v>33800</v>
      </c>
      <c r="I674" s="7">
        <v>3</v>
      </c>
      <c r="J674" s="7">
        <v>2</v>
      </c>
      <c r="K674" s="7">
        <v>2</v>
      </c>
      <c r="L674" s="7">
        <v>1</v>
      </c>
      <c r="M674" s="7">
        <v>2</v>
      </c>
      <c r="N674" s="1">
        <f t="shared" si="63"/>
        <v>2</v>
      </c>
      <c r="O674" s="1" t="str">
        <f t="shared" si="62"/>
        <v>Meets Expectations</v>
      </c>
    </row>
    <row r="675" spans="1:15" x14ac:dyDescent="0.55000000000000004">
      <c r="A675" s="3">
        <v>1238911674</v>
      </c>
      <c r="B675" s="1" t="s">
        <v>14</v>
      </c>
      <c r="C675" s="6">
        <v>36038</v>
      </c>
      <c r="D675" s="6">
        <v>44651</v>
      </c>
      <c r="E675" s="6"/>
      <c r="F675" s="15" t="str">
        <f t="shared" ref="F675:F676" ca="1" si="65">IF(E675="",DATEDIF(D675,TODAY(),"y")&amp; "Years" &amp;DATEDIF(D675,TODAY(),"ym")&amp; "Months"&amp;DATEDIF(D675,TODAY(),"md") &amp;"Days",DATEDIF(D675,E675,"y")&amp; "Years" &amp;DATEDIF(D675,E675,"ym")&amp; "Months"&amp;DATEDIF(D675,E675,"md") &amp;"Days")</f>
        <v>4Years1Months12Days</v>
      </c>
      <c r="G675" s="1" t="s">
        <v>293</v>
      </c>
      <c r="H675" s="2">
        <v>33384</v>
      </c>
      <c r="I675" s="7">
        <v>3</v>
      </c>
      <c r="J675" s="7">
        <v>1</v>
      </c>
      <c r="K675" s="7">
        <v>2</v>
      </c>
      <c r="L675" s="7">
        <v>1</v>
      </c>
      <c r="M675" s="7">
        <v>3</v>
      </c>
      <c r="N675" s="1">
        <f t="shared" si="63"/>
        <v>2</v>
      </c>
      <c r="O675" s="1" t="str">
        <f t="shared" si="62"/>
        <v>Meets Expectations</v>
      </c>
    </row>
    <row r="676" spans="1:15" x14ac:dyDescent="0.55000000000000004">
      <c r="A676" s="3">
        <v>1238911675</v>
      </c>
      <c r="B676" s="1" t="s">
        <v>14</v>
      </c>
      <c r="C676" s="6">
        <v>36107</v>
      </c>
      <c r="D676" s="6">
        <v>43668</v>
      </c>
      <c r="E676" s="6">
        <v>44651</v>
      </c>
      <c r="F676" s="15" t="str">
        <f t="shared" ca="1" si="65"/>
        <v>2Years8Months9Days</v>
      </c>
      <c r="G676" s="1" t="s">
        <v>293</v>
      </c>
      <c r="H676" s="2">
        <v>33384</v>
      </c>
      <c r="I676" s="7">
        <v>2</v>
      </c>
      <c r="J676" s="7">
        <v>2</v>
      </c>
      <c r="K676" s="7">
        <v>2</v>
      </c>
      <c r="L676" s="7">
        <v>2</v>
      </c>
      <c r="M676" s="7">
        <v>2</v>
      </c>
      <c r="N676" s="1">
        <f t="shared" si="63"/>
        <v>2</v>
      </c>
      <c r="O676" s="1" t="str">
        <f t="shared" si="62"/>
        <v>Meets Expectations</v>
      </c>
    </row>
    <row r="677" spans="1:15" x14ac:dyDescent="0.55000000000000004">
      <c r="A677" s="3">
        <v>1238911676</v>
      </c>
      <c r="B677" s="1" t="s">
        <v>12</v>
      </c>
      <c r="C677" s="6">
        <v>36040</v>
      </c>
      <c r="D677" s="6">
        <v>42766</v>
      </c>
      <c r="E677" s="6"/>
      <c r="F677" s="6"/>
      <c r="G677" s="1" t="s">
        <v>294</v>
      </c>
      <c r="H677" s="2">
        <v>75010</v>
      </c>
      <c r="I677" s="7">
        <v>1</v>
      </c>
      <c r="J677" s="7">
        <v>2</v>
      </c>
      <c r="K677" s="7">
        <v>3</v>
      </c>
      <c r="L677" s="7">
        <v>2</v>
      </c>
      <c r="M677" s="7">
        <v>3</v>
      </c>
      <c r="N677" s="1">
        <f t="shared" si="63"/>
        <v>2</v>
      </c>
      <c r="O677" s="1" t="str">
        <f t="shared" si="62"/>
        <v>Meets Expectations</v>
      </c>
    </row>
    <row r="678" spans="1:15" x14ac:dyDescent="0.55000000000000004">
      <c r="A678" s="3">
        <v>1238911677</v>
      </c>
      <c r="B678" s="1" t="s">
        <v>12</v>
      </c>
      <c r="C678" s="6">
        <v>36048</v>
      </c>
      <c r="D678" s="6">
        <v>43387</v>
      </c>
      <c r="E678" s="6"/>
      <c r="F678" s="6"/>
      <c r="G678" s="1" t="s">
        <v>295</v>
      </c>
      <c r="H678" s="2">
        <v>31486.25</v>
      </c>
      <c r="I678" s="7">
        <v>3</v>
      </c>
      <c r="J678" s="7">
        <v>2</v>
      </c>
      <c r="K678" s="7">
        <v>3</v>
      </c>
      <c r="L678" s="7">
        <v>2</v>
      </c>
      <c r="M678" s="7">
        <v>1</v>
      </c>
      <c r="N678" s="1">
        <f t="shared" si="63"/>
        <v>2</v>
      </c>
      <c r="O678" s="1" t="str">
        <f t="shared" si="62"/>
        <v>Meets Expectations</v>
      </c>
    </row>
    <row r="679" spans="1:15" x14ac:dyDescent="0.55000000000000004">
      <c r="A679" s="3">
        <v>1238911678</v>
      </c>
      <c r="B679" s="1" t="s">
        <v>12</v>
      </c>
      <c r="C679" s="6">
        <v>35827</v>
      </c>
      <c r="D679" s="6">
        <v>44322</v>
      </c>
      <c r="E679" s="6"/>
      <c r="F679" s="6"/>
      <c r="G679" s="1" t="s">
        <v>295</v>
      </c>
      <c r="H679" s="2">
        <v>31486.25</v>
      </c>
      <c r="I679" s="7">
        <v>1</v>
      </c>
      <c r="J679" s="7">
        <v>3</v>
      </c>
      <c r="K679" s="7">
        <v>3</v>
      </c>
      <c r="L679" s="7">
        <v>2</v>
      </c>
      <c r="M679" s="7">
        <v>1</v>
      </c>
      <c r="N679" s="1">
        <f t="shared" si="63"/>
        <v>2</v>
      </c>
      <c r="O679" s="1" t="str">
        <f t="shared" si="62"/>
        <v>Meets Expectations</v>
      </c>
    </row>
    <row r="680" spans="1:15" x14ac:dyDescent="0.55000000000000004">
      <c r="A680" s="3">
        <v>1238911679</v>
      </c>
      <c r="B680" s="1" t="s">
        <v>12</v>
      </c>
      <c r="C680" s="6">
        <v>36130</v>
      </c>
      <c r="D680" s="6">
        <v>43822</v>
      </c>
      <c r="E680" s="6">
        <v>45238</v>
      </c>
      <c r="F680" s="6"/>
      <c r="G680" s="1" t="s">
        <v>44</v>
      </c>
      <c r="H680" s="2">
        <v>40170</v>
      </c>
      <c r="I680" s="7">
        <v>3</v>
      </c>
      <c r="J680" s="7">
        <v>3</v>
      </c>
      <c r="K680" s="7">
        <v>3</v>
      </c>
      <c r="L680" s="7">
        <v>1</v>
      </c>
      <c r="M680" s="7">
        <v>1</v>
      </c>
      <c r="N680" s="1">
        <f t="shared" si="63"/>
        <v>2</v>
      </c>
      <c r="O680" s="1" t="str">
        <f t="shared" si="62"/>
        <v>Meets Expectations</v>
      </c>
    </row>
    <row r="681" spans="1:15" x14ac:dyDescent="0.55000000000000004">
      <c r="A681" s="3">
        <v>1238911680</v>
      </c>
      <c r="B681" s="1" t="s">
        <v>14</v>
      </c>
      <c r="C681" s="6">
        <v>34713</v>
      </c>
      <c r="D681" s="6">
        <v>45553</v>
      </c>
      <c r="E681" s="6"/>
      <c r="F681" s="6"/>
      <c r="G681" s="1" t="s">
        <v>185</v>
      </c>
      <c r="H681" s="2">
        <v>68744</v>
      </c>
      <c r="I681" s="7">
        <v>1</v>
      </c>
      <c r="J681" s="7">
        <v>3</v>
      </c>
      <c r="K681" s="7">
        <v>3</v>
      </c>
      <c r="L681" s="7">
        <v>3</v>
      </c>
      <c r="M681" s="7">
        <v>2</v>
      </c>
      <c r="N681" s="1">
        <f t="shared" si="63"/>
        <v>2</v>
      </c>
      <c r="O681" s="1" t="str">
        <f t="shared" si="62"/>
        <v>Meets Expectations</v>
      </c>
    </row>
    <row r="682" spans="1:15" x14ac:dyDescent="0.55000000000000004">
      <c r="A682" s="3">
        <v>1238911681</v>
      </c>
      <c r="B682" s="1" t="s">
        <v>14</v>
      </c>
      <c r="C682" s="6">
        <v>36192</v>
      </c>
      <c r="D682" s="6">
        <v>43454</v>
      </c>
      <c r="E682" s="6">
        <v>45105</v>
      </c>
      <c r="F682" s="6"/>
      <c r="G682" s="1" t="s">
        <v>191</v>
      </c>
      <c r="H682" s="2">
        <v>50076</v>
      </c>
      <c r="I682" s="7">
        <v>2</v>
      </c>
      <c r="J682" s="7">
        <v>1</v>
      </c>
      <c r="K682" s="7">
        <v>1</v>
      </c>
      <c r="L682" s="7">
        <v>3</v>
      </c>
      <c r="M682" s="7">
        <v>3</v>
      </c>
      <c r="N682" s="1">
        <f t="shared" si="63"/>
        <v>2</v>
      </c>
      <c r="O682" s="1" t="str">
        <f t="shared" si="62"/>
        <v>Meets Expectations</v>
      </c>
    </row>
    <row r="683" spans="1:15" x14ac:dyDescent="0.55000000000000004">
      <c r="A683" s="3">
        <v>1238911682</v>
      </c>
      <c r="B683" s="1" t="s">
        <v>14</v>
      </c>
      <c r="C683" s="6">
        <v>36515</v>
      </c>
      <c r="D683" s="6">
        <v>43804</v>
      </c>
      <c r="E683" s="6"/>
      <c r="F683" s="6"/>
      <c r="G683" s="1" t="s">
        <v>191</v>
      </c>
      <c r="H683" s="2">
        <v>50076</v>
      </c>
      <c r="I683" s="7">
        <v>1</v>
      </c>
      <c r="J683" s="7">
        <v>2</v>
      </c>
      <c r="K683" s="7">
        <v>2</v>
      </c>
      <c r="L683" s="7">
        <v>2</v>
      </c>
      <c r="M683" s="7">
        <v>1</v>
      </c>
      <c r="N683" s="1">
        <f t="shared" si="63"/>
        <v>2</v>
      </c>
      <c r="O683" s="1" t="str">
        <f t="shared" si="62"/>
        <v>Meets Expectations</v>
      </c>
    </row>
    <row r="684" spans="1:15" x14ac:dyDescent="0.55000000000000004">
      <c r="A684" s="3">
        <v>1238911683</v>
      </c>
      <c r="B684" s="1" t="s">
        <v>12</v>
      </c>
      <c r="C684" s="6">
        <v>34736</v>
      </c>
      <c r="D684" s="6">
        <v>43024</v>
      </c>
      <c r="E684" s="6">
        <v>44630</v>
      </c>
      <c r="F684" s="6"/>
      <c r="G684" s="1" t="s">
        <v>270</v>
      </c>
      <c r="H684" s="2">
        <v>44200</v>
      </c>
      <c r="I684" s="7">
        <v>1</v>
      </c>
      <c r="J684" s="7">
        <v>2</v>
      </c>
      <c r="K684" s="7">
        <v>3</v>
      </c>
      <c r="L684" s="7">
        <v>2</v>
      </c>
      <c r="M684" s="7">
        <v>2</v>
      </c>
      <c r="N684" s="1">
        <f t="shared" si="63"/>
        <v>2</v>
      </c>
      <c r="O684" s="1" t="str">
        <f t="shared" si="62"/>
        <v>Meets Expectations</v>
      </c>
    </row>
    <row r="685" spans="1:15" x14ac:dyDescent="0.55000000000000004">
      <c r="A685" s="3">
        <v>1238911684</v>
      </c>
      <c r="B685" s="1" t="s">
        <v>14</v>
      </c>
      <c r="C685" s="6">
        <v>36494</v>
      </c>
      <c r="D685" s="6">
        <v>44756</v>
      </c>
      <c r="E685" s="6"/>
      <c r="F685" s="15" t="str">
        <f ca="1">IF(E685="",DATEDIF(D685,TODAY(),"y")&amp; "Years" &amp;DATEDIF(D685,TODAY(),"ym")&amp; "Months"&amp;DATEDIF(D685,TODAY(),"md") &amp;"Days",DATEDIF(D685,E685,"y")&amp; "Years" &amp;DATEDIF(D685,E685,"ym")&amp; "Months"&amp;DATEDIF(D685,E685,"md") &amp;"Days")</f>
        <v>3Years9Months29Days</v>
      </c>
      <c r="G685" s="1" t="s">
        <v>270</v>
      </c>
      <c r="H685" s="2">
        <v>44200</v>
      </c>
      <c r="I685" s="7">
        <v>3</v>
      </c>
      <c r="J685" s="7">
        <v>2</v>
      </c>
      <c r="K685" s="7">
        <v>2</v>
      </c>
      <c r="L685" s="7">
        <v>1</v>
      </c>
      <c r="M685" s="7">
        <v>2</v>
      </c>
      <c r="N685" s="1">
        <f t="shared" si="63"/>
        <v>2</v>
      </c>
      <c r="O685" s="1" t="str">
        <f t="shared" si="62"/>
        <v>Meets Expectations</v>
      </c>
    </row>
    <row r="686" spans="1:15" x14ac:dyDescent="0.55000000000000004">
      <c r="A686" s="3">
        <v>1238911685</v>
      </c>
      <c r="B686" s="1" t="s">
        <v>12</v>
      </c>
      <c r="C686" s="6">
        <v>36271</v>
      </c>
      <c r="D686" s="6">
        <v>45525</v>
      </c>
      <c r="E686" s="6"/>
      <c r="F686" s="6"/>
      <c r="G686" s="1" t="s">
        <v>13</v>
      </c>
      <c r="H686" s="2">
        <v>31512</v>
      </c>
      <c r="I686" s="7">
        <v>3</v>
      </c>
      <c r="J686" s="7">
        <v>2</v>
      </c>
      <c r="K686" s="7">
        <v>1</v>
      </c>
      <c r="L686" s="7">
        <v>3</v>
      </c>
      <c r="M686" s="7">
        <v>3</v>
      </c>
      <c r="N686" s="1">
        <f t="shared" si="63"/>
        <v>2</v>
      </c>
      <c r="O686" s="1" t="str">
        <f t="shared" si="62"/>
        <v>Meets Expectations</v>
      </c>
    </row>
    <row r="687" spans="1:15" x14ac:dyDescent="0.55000000000000004">
      <c r="A687" s="3">
        <v>1238911686</v>
      </c>
      <c r="B687" s="1" t="s">
        <v>12</v>
      </c>
      <c r="C687" s="6">
        <v>36372</v>
      </c>
      <c r="D687" s="6">
        <v>43745</v>
      </c>
      <c r="E687" s="6"/>
      <c r="F687" s="6"/>
      <c r="G687" s="1" t="s">
        <v>44</v>
      </c>
      <c r="H687" s="2">
        <v>28600</v>
      </c>
      <c r="I687" s="7">
        <v>3</v>
      </c>
      <c r="J687" s="7">
        <v>1</v>
      </c>
      <c r="K687" s="7">
        <v>2</v>
      </c>
      <c r="L687" s="7">
        <v>2</v>
      </c>
      <c r="M687" s="7">
        <v>2</v>
      </c>
      <c r="N687" s="1">
        <f t="shared" si="63"/>
        <v>2</v>
      </c>
      <c r="O687" s="1" t="str">
        <f t="shared" si="62"/>
        <v>Meets Expectations</v>
      </c>
    </row>
    <row r="688" spans="1:15" x14ac:dyDescent="0.55000000000000004">
      <c r="A688" s="3">
        <v>1238911687</v>
      </c>
      <c r="B688" s="1" t="s">
        <v>12</v>
      </c>
      <c r="C688" s="6">
        <v>36288</v>
      </c>
      <c r="D688" s="6">
        <v>45331</v>
      </c>
      <c r="E688" s="6"/>
      <c r="F688" s="6"/>
      <c r="G688" s="1" t="s">
        <v>296</v>
      </c>
      <c r="H688" s="2">
        <v>33800</v>
      </c>
      <c r="I688" s="7">
        <v>3</v>
      </c>
      <c r="J688" s="7">
        <v>2</v>
      </c>
      <c r="K688" s="7">
        <v>3</v>
      </c>
      <c r="L688" s="7">
        <v>2</v>
      </c>
      <c r="M688" s="7">
        <v>1</v>
      </c>
      <c r="N688" s="1">
        <f t="shared" si="63"/>
        <v>2</v>
      </c>
      <c r="O688" s="1" t="str">
        <f t="shared" si="62"/>
        <v>Meets Expectations</v>
      </c>
    </row>
    <row r="689" spans="1:15" x14ac:dyDescent="0.55000000000000004">
      <c r="A689" s="3">
        <v>1238911688</v>
      </c>
      <c r="B689" s="1" t="s">
        <v>14</v>
      </c>
      <c r="C689" s="6">
        <v>36320</v>
      </c>
      <c r="D689" s="6">
        <v>43306</v>
      </c>
      <c r="E689" s="6"/>
      <c r="F689" s="6"/>
      <c r="G689" s="1" t="s">
        <v>134</v>
      </c>
      <c r="H689" s="2">
        <v>54834</v>
      </c>
      <c r="I689" s="7">
        <v>3</v>
      </c>
      <c r="J689" s="7">
        <v>1</v>
      </c>
      <c r="K689" s="7">
        <v>1</v>
      </c>
      <c r="L689" s="7">
        <v>1</v>
      </c>
      <c r="M689" s="7">
        <v>3</v>
      </c>
      <c r="N689" s="1">
        <f t="shared" si="63"/>
        <v>2</v>
      </c>
      <c r="O689" s="1" t="str">
        <f t="shared" si="62"/>
        <v>Meets Expectations</v>
      </c>
    </row>
    <row r="690" spans="1:15" x14ac:dyDescent="0.55000000000000004">
      <c r="A690" s="3">
        <v>1238911689</v>
      </c>
      <c r="B690" s="1" t="s">
        <v>12</v>
      </c>
      <c r="C690" s="6">
        <v>36208</v>
      </c>
      <c r="D690" s="6">
        <v>45245</v>
      </c>
      <c r="E690" s="6"/>
      <c r="F690" s="6"/>
      <c r="G690" s="1" t="s">
        <v>107</v>
      </c>
      <c r="H690" s="2">
        <v>28886.25</v>
      </c>
      <c r="I690" s="7">
        <v>1</v>
      </c>
      <c r="J690" s="7">
        <v>2</v>
      </c>
      <c r="K690" s="7">
        <v>2</v>
      </c>
      <c r="L690" s="7">
        <v>3</v>
      </c>
      <c r="M690" s="7">
        <v>3</v>
      </c>
      <c r="N690" s="1">
        <f t="shared" si="63"/>
        <v>2</v>
      </c>
      <c r="O690" s="1" t="str">
        <f t="shared" si="62"/>
        <v>Meets Expectations</v>
      </c>
    </row>
    <row r="691" spans="1:15" x14ac:dyDescent="0.55000000000000004">
      <c r="A691" s="3">
        <v>1238911690</v>
      </c>
      <c r="B691" s="1" t="s">
        <v>12</v>
      </c>
      <c r="C691" s="6">
        <v>34869</v>
      </c>
      <c r="D691" s="6">
        <v>45519</v>
      </c>
      <c r="E691" s="6"/>
      <c r="F691" s="6"/>
      <c r="G691" s="1" t="s">
        <v>297</v>
      </c>
      <c r="H691" s="2">
        <v>68770</v>
      </c>
      <c r="I691" s="7">
        <v>2</v>
      </c>
      <c r="J691" s="7">
        <v>1</v>
      </c>
      <c r="K691" s="7">
        <v>2</v>
      </c>
      <c r="L691" s="7">
        <v>2</v>
      </c>
      <c r="M691" s="7">
        <v>1</v>
      </c>
      <c r="N691" s="1">
        <f t="shared" si="63"/>
        <v>2</v>
      </c>
      <c r="O691" s="1" t="str">
        <f t="shared" si="62"/>
        <v>Meets Expectations</v>
      </c>
    </row>
    <row r="692" spans="1:15" x14ac:dyDescent="0.55000000000000004">
      <c r="A692" s="3">
        <v>1238911691</v>
      </c>
      <c r="B692" s="1" t="s">
        <v>12</v>
      </c>
      <c r="C692" s="6">
        <v>36344</v>
      </c>
      <c r="D692" s="6">
        <v>43509</v>
      </c>
      <c r="E692" s="6"/>
      <c r="F692" s="6"/>
      <c r="G692" s="1" t="s">
        <v>298</v>
      </c>
      <c r="H692" s="2">
        <v>36972</v>
      </c>
      <c r="I692" s="7">
        <v>2</v>
      </c>
      <c r="J692" s="7">
        <v>3</v>
      </c>
      <c r="K692" s="7">
        <v>2</v>
      </c>
      <c r="L692" s="7">
        <v>2</v>
      </c>
      <c r="M692" s="7">
        <v>1</v>
      </c>
      <c r="N692" s="1">
        <f t="shared" si="63"/>
        <v>2</v>
      </c>
      <c r="O692" s="1" t="str">
        <f t="shared" si="62"/>
        <v>Meets Expectations</v>
      </c>
    </row>
    <row r="693" spans="1:15" x14ac:dyDescent="0.55000000000000004">
      <c r="A693" s="3">
        <v>1238911692</v>
      </c>
      <c r="B693" s="1" t="s">
        <v>12</v>
      </c>
      <c r="C693" s="6">
        <v>36351</v>
      </c>
      <c r="D693" s="6">
        <v>44451</v>
      </c>
      <c r="E693" s="6"/>
      <c r="F693" s="6"/>
      <c r="G693" s="1" t="s">
        <v>133</v>
      </c>
      <c r="H693" s="2">
        <v>31928</v>
      </c>
      <c r="I693" s="7">
        <v>1</v>
      </c>
      <c r="J693" s="7">
        <v>2</v>
      </c>
      <c r="K693" s="7">
        <v>3</v>
      </c>
      <c r="L693" s="7">
        <v>2</v>
      </c>
      <c r="M693" s="7">
        <v>3</v>
      </c>
      <c r="N693" s="1">
        <f t="shared" si="63"/>
        <v>2</v>
      </c>
      <c r="O693" s="1" t="str">
        <f t="shared" si="62"/>
        <v>Meets Expectations</v>
      </c>
    </row>
    <row r="694" spans="1:15" x14ac:dyDescent="0.55000000000000004">
      <c r="A694" s="3">
        <v>1238911693</v>
      </c>
      <c r="B694" s="1" t="s">
        <v>12</v>
      </c>
      <c r="C694" s="6">
        <v>36493</v>
      </c>
      <c r="D694" s="6">
        <v>43268</v>
      </c>
      <c r="E694" s="6">
        <v>44707</v>
      </c>
      <c r="F694" s="6"/>
      <c r="G694" s="1" t="s">
        <v>299</v>
      </c>
      <c r="H694" s="2">
        <v>44356</v>
      </c>
      <c r="I694" s="7">
        <v>2</v>
      </c>
      <c r="J694" s="7">
        <v>1</v>
      </c>
      <c r="K694" s="7">
        <v>2</v>
      </c>
      <c r="L694" s="7">
        <v>3</v>
      </c>
      <c r="M694" s="7">
        <v>1</v>
      </c>
      <c r="N694" s="1">
        <f t="shared" si="63"/>
        <v>2</v>
      </c>
      <c r="O694" s="1" t="str">
        <f t="shared" si="62"/>
        <v>Meets Expectations</v>
      </c>
    </row>
    <row r="695" spans="1:15" x14ac:dyDescent="0.55000000000000004">
      <c r="A695" s="3">
        <v>1238911694</v>
      </c>
      <c r="B695" s="1" t="s">
        <v>14</v>
      </c>
      <c r="C695" s="6">
        <v>36369</v>
      </c>
      <c r="D695" s="6">
        <v>43920</v>
      </c>
      <c r="E695" s="6">
        <v>44132</v>
      </c>
      <c r="F695" s="15" t="str">
        <f ca="1">IF(E695="",DATEDIF(D695,TODAY(),"y")&amp; "Years" &amp;DATEDIF(D695,TODAY(),"ym")&amp; "Months"&amp;DATEDIF(D695,TODAY(),"md") &amp;"Days",DATEDIF(D695,E695,"y")&amp; "Years" &amp;DATEDIF(D695,E695,"ym")&amp; "Months"&amp;DATEDIF(D695,E695,"md") &amp;"Days")</f>
        <v>0Years6Months28Days</v>
      </c>
      <c r="G695" s="1" t="s">
        <v>58</v>
      </c>
      <c r="H695" s="2">
        <v>32448</v>
      </c>
      <c r="I695" s="7">
        <v>3</v>
      </c>
      <c r="J695" s="7">
        <v>2</v>
      </c>
      <c r="K695" s="7">
        <v>2</v>
      </c>
      <c r="L695" s="7">
        <v>2</v>
      </c>
      <c r="M695" s="7">
        <v>3</v>
      </c>
      <c r="N695" s="1">
        <f t="shared" si="63"/>
        <v>2</v>
      </c>
      <c r="O695" s="1" t="str">
        <f t="shared" si="62"/>
        <v>Meets Expectations</v>
      </c>
    </row>
    <row r="696" spans="1:15" x14ac:dyDescent="0.55000000000000004">
      <c r="A696" s="3">
        <v>1238911695</v>
      </c>
      <c r="B696" s="1" t="s">
        <v>12</v>
      </c>
      <c r="C696" s="6">
        <v>36372</v>
      </c>
      <c r="D696" s="6">
        <v>44893</v>
      </c>
      <c r="E696" s="6">
        <v>45567</v>
      </c>
      <c r="F696" s="6"/>
      <c r="G696" s="1" t="s">
        <v>13</v>
      </c>
      <c r="H696" s="2">
        <v>27300</v>
      </c>
      <c r="I696" s="7">
        <v>2</v>
      </c>
      <c r="J696" s="7">
        <v>2</v>
      </c>
      <c r="K696" s="7">
        <v>1</v>
      </c>
      <c r="L696" s="7">
        <v>3</v>
      </c>
      <c r="M696" s="7">
        <v>2</v>
      </c>
      <c r="N696" s="1">
        <f t="shared" si="63"/>
        <v>2</v>
      </c>
      <c r="O696" s="1" t="str">
        <f t="shared" si="62"/>
        <v>Meets Expectations</v>
      </c>
    </row>
    <row r="697" spans="1:15" x14ac:dyDescent="0.55000000000000004">
      <c r="A697" s="3">
        <v>1238911696</v>
      </c>
      <c r="B697" s="1" t="s">
        <v>14</v>
      </c>
      <c r="C697" s="6">
        <v>36336</v>
      </c>
      <c r="D697" s="6">
        <v>44379</v>
      </c>
      <c r="E697" s="6"/>
      <c r="F697" s="15" t="str">
        <f ca="1">IF(E697="",DATEDIF(D697,TODAY(),"y")&amp; "Years" &amp;DATEDIF(D697,TODAY(),"ym")&amp; "Months"&amp;DATEDIF(D697,TODAY(),"md") &amp;"Days",DATEDIF(D697,E697,"y")&amp; "Years" &amp;DATEDIF(D697,E697,"ym")&amp; "Months"&amp;DATEDIF(D697,E697,"md") &amp;"Days")</f>
        <v>4Years10Months11Days</v>
      </c>
      <c r="G697" s="1" t="s">
        <v>44</v>
      </c>
      <c r="H697" s="2">
        <v>31200</v>
      </c>
      <c r="I697" s="7">
        <v>3</v>
      </c>
      <c r="J697" s="7">
        <v>2</v>
      </c>
      <c r="K697" s="7">
        <v>1</v>
      </c>
      <c r="L697" s="7">
        <v>3</v>
      </c>
      <c r="M697" s="7">
        <v>3</v>
      </c>
      <c r="N697" s="1">
        <f t="shared" si="63"/>
        <v>2</v>
      </c>
      <c r="O697" s="1" t="str">
        <f t="shared" si="62"/>
        <v>Meets Expectations</v>
      </c>
    </row>
    <row r="698" spans="1:15" x14ac:dyDescent="0.55000000000000004">
      <c r="A698" s="3">
        <v>1238911697</v>
      </c>
      <c r="B698" s="1" t="s">
        <v>12</v>
      </c>
      <c r="C698" s="6">
        <v>36317</v>
      </c>
      <c r="D698" s="6">
        <v>44952</v>
      </c>
      <c r="E698" s="6"/>
      <c r="F698" s="6"/>
      <c r="G698" s="1" t="s">
        <v>300</v>
      </c>
      <c r="H698" s="2">
        <v>51558</v>
      </c>
      <c r="I698" s="7">
        <v>3</v>
      </c>
      <c r="J698" s="7">
        <v>2</v>
      </c>
      <c r="K698" s="7">
        <v>2</v>
      </c>
      <c r="L698" s="7">
        <v>2</v>
      </c>
      <c r="M698" s="7">
        <v>1</v>
      </c>
      <c r="N698" s="1">
        <f t="shared" si="63"/>
        <v>2</v>
      </c>
      <c r="O698" s="1" t="str">
        <f t="shared" si="62"/>
        <v>Meets Expectations</v>
      </c>
    </row>
    <row r="699" spans="1:15" x14ac:dyDescent="0.55000000000000004">
      <c r="A699" s="3">
        <v>1238911698</v>
      </c>
      <c r="B699" s="1" t="s">
        <v>12</v>
      </c>
      <c r="C699" s="6">
        <v>36413</v>
      </c>
      <c r="D699" s="6">
        <v>45673</v>
      </c>
      <c r="E699" s="6"/>
      <c r="F699" s="6"/>
      <c r="G699" s="1" t="s">
        <v>301</v>
      </c>
      <c r="H699" s="2">
        <v>48464</v>
      </c>
      <c r="I699" s="7">
        <v>1</v>
      </c>
      <c r="J699" s="7">
        <v>3</v>
      </c>
      <c r="K699" s="7">
        <v>2</v>
      </c>
      <c r="L699" s="7">
        <v>3</v>
      </c>
      <c r="M699" s="7">
        <v>1</v>
      </c>
      <c r="N699" s="1">
        <f t="shared" si="63"/>
        <v>2</v>
      </c>
      <c r="O699" s="1" t="str">
        <f t="shared" si="62"/>
        <v>Meets Expectations</v>
      </c>
    </row>
    <row r="700" spans="1:15" x14ac:dyDescent="0.55000000000000004">
      <c r="A700" s="3">
        <v>1238911699</v>
      </c>
      <c r="B700" s="1" t="s">
        <v>14</v>
      </c>
      <c r="C700" s="6">
        <v>34236</v>
      </c>
      <c r="D700" s="6">
        <v>43789</v>
      </c>
      <c r="E700" s="6"/>
      <c r="F700" s="6"/>
      <c r="G700" s="1" t="s">
        <v>302</v>
      </c>
      <c r="H700" s="2">
        <v>60461.25</v>
      </c>
      <c r="I700" s="7">
        <v>1</v>
      </c>
      <c r="J700" s="7">
        <v>1</v>
      </c>
      <c r="K700" s="7">
        <v>1</v>
      </c>
      <c r="L700" s="7">
        <v>1</v>
      </c>
      <c r="M700" s="7">
        <v>3</v>
      </c>
      <c r="N700" s="1">
        <f t="shared" si="63"/>
        <v>1</v>
      </c>
      <c r="O700" s="1" t="str">
        <f t="shared" si="62"/>
        <v>Below Expectations</v>
      </c>
    </row>
    <row r="701" spans="1:15" x14ac:dyDescent="0.55000000000000004">
      <c r="A701" s="3">
        <v>1238911700</v>
      </c>
      <c r="B701" s="1" t="s">
        <v>12</v>
      </c>
      <c r="C701" s="6">
        <v>35356</v>
      </c>
      <c r="D701" s="6">
        <v>43027</v>
      </c>
      <c r="E701" s="6"/>
      <c r="F701" s="6"/>
      <c r="G701" s="1" t="s">
        <v>303</v>
      </c>
      <c r="H701" s="2">
        <v>72878</v>
      </c>
      <c r="I701" s="7">
        <v>2</v>
      </c>
      <c r="J701" s="7">
        <v>2</v>
      </c>
      <c r="K701" s="7">
        <v>2</v>
      </c>
      <c r="L701" s="7">
        <v>1</v>
      </c>
      <c r="M701" s="7">
        <v>1</v>
      </c>
      <c r="N701" s="1">
        <f t="shared" si="63"/>
        <v>2</v>
      </c>
      <c r="O701" s="1" t="str">
        <f t="shared" si="62"/>
        <v>Meets Expectations</v>
      </c>
    </row>
    <row r="702" spans="1:15" x14ac:dyDescent="0.55000000000000004">
      <c r="A702" s="3">
        <v>1238911701</v>
      </c>
      <c r="B702" s="1" t="s">
        <v>14</v>
      </c>
      <c r="C702" s="6">
        <v>36460</v>
      </c>
      <c r="D702" s="6">
        <v>44269</v>
      </c>
      <c r="E702" s="6"/>
      <c r="F702" s="15" t="str">
        <f ca="1">IF(E702="",DATEDIF(D702,TODAY(),"y")&amp; "Years" &amp;DATEDIF(D702,TODAY(),"ym")&amp; "Months"&amp;DATEDIF(D702,TODAY(),"md") &amp;"Days",DATEDIF(D702,E702,"y")&amp; "Years" &amp;DATEDIF(D702,E702,"ym")&amp; "Months"&amp;DATEDIF(D702,E702,"md") &amp;"Days")</f>
        <v>5Years1Months29Days</v>
      </c>
      <c r="G702" s="1" t="s">
        <v>25</v>
      </c>
      <c r="H702" s="2">
        <v>26520</v>
      </c>
      <c r="I702" s="7">
        <v>3</v>
      </c>
      <c r="J702" s="7">
        <v>1</v>
      </c>
      <c r="K702" s="7">
        <v>2</v>
      </c>
      <c r="L702" s="7">
        <v>2</v>
      </c>
      <c r="M702" s="7">
        <v>1</v>
      </c>
      <c r="N702" s="1">
        <f t="shared" si="63"/>
        <v>2</v>
      </c>
      <c r="O702" s="1" t="str">
        <f t="shared" si="62"/>
        <v>Meets Expectations</v>
      </c>
    </row>
    <row r="703" spans="1:15" x14ac:dyDescent="0.55000000000000004">
      <c r="A703" s="3">
        <v>1238911702</v>
      </c>
      <c r="B703" s="1" t="s">
        <v>12</v>
      </c>
      <c r="C703" s="6">
        <v>36477</v>
      </c>
      <c r="D703" s="6">
        <v>45234</v>
      </c>
      <c r="E703" s="6"/>
      <c r="F703" s="6"/>
      <c r="G703" s="1" t="s">
        <v>198</v>
      </c>
      <c r="H703" s="2">
        <v>62842</v>
      </c>
      <c r="I703" s="7">
        <v>3</v>
      </c>
      <c r="J703" s="7">
        <v>1</v>
      </c>
      <c r="K703" s="7">
        <v>3</v>
      </c>
      <c r="L703" s="7">
        <v>3</v>
      </c>
      <c r="M703" s="7">
        <v>3</v>
      </c>
      <c r="N703" s="1">
        <f t="shared" si="63"/>
        <v>3</v>
      </c>
      <c r="O703" s="1" t="str">
        <f t="shared" si="62"/>
        <v>Exceeds Expectations</v>
      </c>
    </row>
    <row r="704" spans="1:15" x14ac:dyDescent="0.55000000000000004">
      <c r="A704" s="3">
        <v>1238911703</v>
      </c>
      <c r="B704" s="1" t="s">
        <v>12</v>
      </c>
      <c r="C704" s="6">
        <v>35388</v>
      </c>
      <c r="D704" s="6">
        <v>42238</v>
      </c>
      <c r="E704" s="6"/>
      <c r="F704" s="6"/>
      <c r="G704" s="1" t="s">
        <v>280</v>
      </c>
      <c r="H704" s="2">
        <v>61438</v>
      </c>
      <c r="I704" s="7">
        <v>2</v>
      </c>
      <c r="J704" s="7">
        <v>2</v>
      </c>
      <c r="K704" s="7">
        <v>2</v>
      </c>
      <c r="L704" s="7">
        <v>3</v>
      </c>
      <c r="M704" s="7">
        <v>2</v>
      </c>
      <c r="N704" s="1">
        <f t="shared" si="63"/>
        <v>2</v>
      </c>
      <c r="O704" s="1" t="str">
        <f t="shared" si="62"/>
        <v>Meets Expectations</v>
      </c>
    </row>
    <row r="705" spans="1:15" x14ac:dyDescent="0.55000000000000004">
      <c r="A705" s="3">
        <v>1238911704</v>
      </c>
      <c r="B705" s="1" t="s">
        <v>14</v>
      </c>
      <c r="C705" s="6">
        <v>36519</v>
      </c>
      <c r="D705" s="6">
        <v>44351</v>
      </c>
      <c r="E705" s="6"/>
      <c r="F705" s="15" t="str">
        <f t="shared" ref="F705:F706" ca="1" si="66">IF(E705="",DATEDIF(D705,TODAY(),"y")&amp; "Years" &amp;DATEDIF(D705,TODAY(),"ym")&amp; "Months"&amp;DATEDIF(D705,TODAY(),"md") &amp;"Days",DATEDIF(D705,E705,"y")&amp; "Years" &amp;DATEDIF(D705,E705,"ym")&amp; "Months"&amp;DATEDIF(D705,E705,"md") &amp;"Days")</f>
        <v>4Years11Months9Days</v>
      </c>
      <c r="G705" s="1" t="s">
        <v>304</v>
      </c>
      <c r="H705" s="2">
        <v>46253.75</v>
      </c>
      <c r="I705" s="7">
        <v>3</v>
      </c>
      <c r="J705" s="7">
        <v>1</v>
      </c>
      <c r="K705" s="7">
        <v>2</v>
      </c>
      <c r="L705" s="7">
        <v>3</v>
      </c>
      <c r="M705" s="7">
        <v>1</v>
      </c>
      <c r="N705" s="1">
        <f t="shared" si="63"/>
        <v>2</v>
      </c>
      <c r="O705" s="1" t="str">
        <f t="shared" si="62"/>
        <v>Meets Expectations</v>
      </c>
    </row>
    <row r="706" spans="1:15" x14ac:dyDescent="0.55000000000000004">
      <c r="A706" s="3">
        <v>1238911705</v>
      </c>
      <c r="B706" s="1" t="s">
        <v>14</v>
      </c>
      <c r="C706" s="6">
        <v>36547</v>
      </c>
      <c r="D706" s="6">
        <v>44732</v>
      </c>
      <c r="E706" s="6">
        <v>45826</v>
      </c>
      <c r="F706" s="15" t="str">
        <f t="shared" ca="1" si="66"/>
        <v>2Years11Months29Days</v>
      </c>
      <c r="G706" s="1" t="s">
        <v>305</v>
      </c>
      <c r="H706" s="2">
        <v>39000</v>
      </c>
      <c r="I706" s="7">
        <v>1</v>
      </c>
      <c r="J706" s="7">
        <v>1</v>
      </c>
      <c r="K706" s="7">
        <v>2</v>
      </c>
      <c r="L706" s="7">
        <v>2</v>
      </c>
      <c r="M706" s="7">
        <v>3</v>
      </c>
      <c r="N706" s="1">
        <f t="shared" si="63"/>
        <v>2</v>
      </c>
      <c r="O706" s="1" t="str">
        <f t="shared" si="62"/>
        <v>Meets Expectations</v>
      </c>
    </row>
    <row r="707" spans="1:15" x14ac:dyDescent="0.55000000000000004">
      <c r="A707" s="3">
        <v>1238911706</v>
      </c>
      <c r="B707" s="1" t="s">
        <v>12</v>
      </c>
      <c r="C707" s="6">
        <v>36565</v>
      </c>
      <c r="D707" s="6">
        <v>45619</v>
      </c>
      <c r="E707" s="6"/>
      <c r="F707" s="6"/>
      <c r="G707" s="1" t="s">
        <v>306</v>
      </c>
      <c r="H707" s="2">
        <v>71292.5</v>
      </c>
      <c r="I707" s="7">
        <v>2</v>
      </c>
      <c r="J707" s="7">
        <v>1</v>
      </c>
      <c r="K707" s="7">
        <v>2</v>
      </c>
      <c r="L707" s="7">
        <v>1</v>
      </c>
      <c r="M707" s="7">
        <v>1</v>
      </c>
      <c r="N707" s="1">
        <f t="shared" si="63"/>
        <v>1</v>
      </c>
      <c r="O707" s="1" t="str">
        <f t="shared" si="62"/>
        <v>Below Expectations</v>
      </c>
    </row>
    <row r="708" spans="1:15" x14ac:dyDescent="0.55000000000000004">
      <c r="A708" s="3">
        <v>1238911707</v>
      </c>
      <c r="B708" s="1" t="s">
        <v>12</v>
      </c>
      <c r="C708" s="6">
        <v>36603</v>
      </c>
      <c r="D708" s="6">
        <v>43921</v>
      </c>
      <c r="E708" s="6"/>
      <c r="F708" s="6"/>
      <c r="G708" s="1" t="s">
        <v>44</v>
      </c>
      <c r="H708" s="2">
        <v>31200</v>
      </c>
      <c r="I708" s="7">
        <v>3</v>
      </c>
      <c r="J708" s="7">
        <v>3</v>
      </c>
      <c r="K708" s="7">
        <v>3</v>
      </c>
      <c r="L708" s="7">
        <v>2</v>
      </c>
      <c r="M708" s="7">
        <v>2</v>
      </c>
      <c r="N708" s="1">
        <f t="shared" si="63"/>
        <v>3</v>
      </c>
      <c r="O708" s="1" t="str">
        <f t="shared" ref="O708:O748" si="67">IF(N708=1,"Below Expectations",IF(N708=2,"Meets Expectations","Exceeds Expectations"))</f>
        <v>Exceeds Expectations</v>
      </c>
    </row>
    <row r="709" spans="1:15" x14ac:dyDescent="0.55000000000000004">
      <c r="A709" s="3">
        <v>1238911708</v>
      </c>
      <c r="B709" s="1" t="s">
        <v>14</v>
      </c>
      <c r="C709" s="6">
        <v>36712</v>
      </c>
      <c r="D709" s="6">
        <v>45616</v>
      </c>
      <c r="E709" s="6"/>
      <c r="F709" s="15" t="str">
        <f ca="1">IF(E709="",DATEDIF(D709,TODAY(),"y")&amp; "Years" &amp;DATEDIF(D709,TODAY(),"ym")&amp; "Months"&amp;DATEDIF(D709,TODAY(),"md") &amp;"Days",DATEDIF(D709,E709,"y")&amp; "Years" &amp;DATEDIF(D709,E709,"ym")&amp; "Months"&amp;DATEDIF(D709,E709,"md") &amp;"Days")</f>
        <v>1Years5Months23Days</v>
      </c>
      <c r="G709" s="1" t="s">
        <v>307</v>
      </c>
      <c r="H709" s="2">
        <v>49400</v>
      </c>
      <c r="I709" s="7">
        <v>2</v>
      </c>
      <c r="J709" s="7">
        <v>2</v>
      </c>
      <c r="K709" s="7">
        <v>3</v>
      </c>
      <c r="L709" s="7">
        <v>3</v>
      </c>
      <c r="M709" s="7">
        <v>1</v>
      </c>
      <c r="N709" s="1">
        <f t="shared" si="63"/>
        <v>2</v>
      </c>
      <c r="O709" s="1" t="str">
        <f t="shared" si="67"/>
        <v>Meets Expectations</v>
      </c>
    </row>
    <row r="710" spans="1:15" x14ac:dyDescent="0.55000000000000004">
      <c r="A710" s="3">
        <v>1238911709</v>
      </c>
      <c r="B710" s="1" t="s">
        <v>14</v>
      </c>
      <c r="C710" s="6">
        <v>34416</v>
      </c>
      <c r="D710" s="6">
        <v>43765</v>
      </c>
      <c r="E710" s="6">
        <v>44626</v>
      </c>
      <c r="F710" s="6"/>
      <c r="G710" s="1" t="s">
        <v>63</v>
      </c>
      <c r="H710" s="2">
        <v>75000</v>
      </c>
      <c r="I710" s="7">
        <v>2</v>
      </c>
      <c r="J710" s="7">
        <v>2</v>
      </c>
      <c r="K710" s="7">
        <v>2</v>
      </c>
      <c r="L710" s="7">
        <v>3</v>
      </c>
      <c r="M710" s="7">
        <v>2</v>
      </c>
      <c r="N710" s="1">
        <f t="shared" si="63"/>
        <v>2</v>
      </c>
      <c r="O710" s="1" t="str">
        <f t="shared" si="67"/>
        <v>Meets Expectations</v>
      </c>
    </row>
    <row r="711" spans="1:15" x14ac:dyDescent="0.55000000000000004">
      <c r="A711" s="3">
        <v>1238911710</v>
      </c>
      <c r="B711" s="1" t="s">
        <v>12</v>
      </c>
      <c r="C711" s="6">
        <v>36687</v>
      </c>
      <c r="D711" s="6">
        <v>45079</v>
      </c>
      <c r="E711" s="6"/>
      <c r="F711" s="6"/>
      <c r="G711" s="1" t="s">
        <v>308</v>
      </c>
      <c r="H711" s="2">
        <v>37128</v>
      </c>
      <c r="I711" s="7">
        <v>3</v>
      </c>
      <c r="J711" s="7">
        <v>3</v>
      </c>
      <c r="K711" s="7">
        <v>2</v>
      </c>
      <c r="L711" s="7">
        <v>3</v>
      </c>
      <c r="M711" s="7">
        <v>3</v>
      </c>
      <c r="N711" s="1">
        <f t="shared" si="63"/>
        <v>3</v>
      </c>
      <c r="O711" s="1" t="str">
        <f t="shared" si="67"/>
        <v>Exceeds Expectations</v>
      </c>
    </row>
    <row r="712" spans="1:15" x14ac:dyDescent="0.55000000000000004">
      <c r="A712" s="3">
        <v>1238911711</v>
      </c>
      <c r="B712" s="1" t="s">
        <v>12</v>
      </c>
      <c r="C712" s="6">
        <v>36700</v>
      </c>
      <c r="D712" s="6">
        <v>43751</v>
      </c>
      <c r="E712" s="6">
        <v>44832</v>
      </c>
      <c r="F712" s="6"/>
      <c r="G712" s="1" t="s">
        <v>133</v>
      </c>
      <c r="H712" s="2">
        <v>31824</v>
      </c>
      <c r="I712" s="7">
        <v>3</v>
      </c>
      <c r="J712" s="7">
        <v>3</v>
      </c>
      <c r="K712" s="7">
        <v>2</v>
      </c>
      <c r="L712" s="7">
        <v>3</v>
      </c>
      <c r="M712" s="7">
        <v>3</v>
      </c>
      <c r="N712" s="1">
        <f t="shared" ref="N712:N748" si="68">ROUND(AVERAGE(I712:M712),0)</f>
        <v>3</v>
      </c>
      <c r="O712" s="1" t="str">
        <f t="shared" si="67"/>
        <v>Exceeds Expectations</v>
      </c>
    </row>
    <row r="713" spans="1:15" x14ac:dyDescent="0.55000000000000004">
      <c r="A713" s="3">
        <v>1238911712</v>
      </c>
      <c r="B713" s="1" t="s">
        <v>12</v>
      </c>
      <c r="C713" s="6">
        <v>36831</v>
      </c>
      <c r="D713" s="6">
        <v>43950</v>
      </c>
      <c r="E713" s="6"/>
      <c r="F713" s="6"/>
      <c r="G713" s="1" t="s">
        <v>43</v>
      </c>
      <c r="H713" s="2">
        <v>32500</v>
      </c>
      <c r="I713" s="7">
        <v>1</v>
      </c>
      <c r="J713" s="7">
        <v>3</v>
      </c>
      <c r="K713" s="7">
        <v>3</v>
      </c>
      <c r="L713" s="7">
        <v>1</v>
      </c>
      <c r="M713" s="7">
        <v>2</v>
      </c>
      <c r="N713" s="1">
        <f t="shared" si="68"/>
        <v>2</v>
      </c>
      <c r="O713" s="1" t="str">
        <f t="shared" si="67"/>
        <v>Meets Expectations</v>
      </c>
    </row>
    <row r="714" spans="1:15" x14ac:dyDescent="0.55000000000000004">
      <c r="A714" s="3">
        <v>1238911713</v>
      </c>
      <c r="B714" s="1" t="s">
        <v>14</v>
      </c>
      <c r="C714" s="6">
        <v>36845</v>
      </c>
      <c r="D714" s="6">
        <v>45052</v>
      </c>
      <c r="E714" s="6"/>
      <c r="F714" s="6"/>
      <c r="G714" s="1" t="s">
        <v>68</v>
      </c>
      <c r="H714" s="2">
        <v>54054</v>
      </c>
      <c r="I714" s="7">
        <v>3</v>
      </c>
      <c r="J714" s="7">
        <v>2</v>
      </c>
      <c r="K714" s="7">
        <v>1</v>
      </c>
      <c r="L714" s="7">
        <v>2</v>
      </c>
      <c r="M714" s="7">
        <v>1</v>
      </c>
      <c r="N714" s="1">
        <f t="shared" si="68"/>
        <v>2</v>
      </c>
      <c r="O714" s="1" t="str">
        <f t="shared" si="67"/>
        <v>Meets Expectations</v>
      </c>
    </row>
    <row r="715" spans="1:15" x14ac:dyDescent="0.55000000000000004">
      <c r="A715" s="3">
        <v>1238911714</v>
      </c>
      <c r="B715" s="1" t="s">
        <v>14</v>
      </c>
      <c r="C715" s="6">
        <v>35337</v>
      </c>
      <c r="D715" s="6">
        <v>43872</v>
      </c>
      <c r="E715" s="6">
        <v>44818</v>
      </c>
      <c r="F715" s="15" t="str">
        <f t="shared" ref="F715:F716" ca="1" si="69">IF(E715="",DATEDIF(D715,TODAY(),"y")&amp; "Years" &amp;DATEDIF(D715,TODAY(),"ym")&amp; "Months"&amp;DATEDIF(D715,TODAY(),"md") &amp;"Days",DATEDIF(D715,E715,"y")&amp; "Years" &amp;DATEDIF(D715,E715,"ym")&amp; "Months"&amp;DATEDIF(D715,E715,"md") &amp;"Days")</f>
        <v>2Years7Months3Days</v>
      </c>
      <c r="G715" s="1" t="s">
        <v>96</v>
      </c>
      <c r="H715" s="2">
        <v>31303.75</v>
      </c>
      <c r="I715" s="7">
        <v>2</v>
      </c>
      <c r="J715" s="7">
        <v>2</v>
      </c>
      <c r="K715" s="7">
        <v>3</v>
      </c>
      <c r="L715" s="7">
        <v>3</v>
      </c>
      <c r="M715" s="7">
        <v>3</v>
      </c>
      <c r="N715" s="1">
        <f t="shared" si="68"/>
        <v>3</v>
      </c>
      <c r="O715" s="1" t="str">
        <f t="shared" si="67"/>
        <v>Exceeds Expectations</v>
      </c>
    </row>
    <row r="716" spans="1:15" x14ac:dyDescent="0.55000000000000004">
      <c r="A716" s="3">
        <v>1238911715</v>
      </c>
      <c r="B716" s="1" t="s">
        <v>14</v>
      </c>
      <c r="C716" s="6">
        <v>36847</v>
      </c>
      <c r="D716" s="6">
        <v>44867</v>
      </c>
      <c r="E716" s="6">
        <v>44981</v>
      </c>
      <c r="F716" s="15" t="str">
        <f t="shared" ca="1" si="69"/>
        <v>0Years3Months22Days</v>
      </c>
      <c r="G716" s="1" t="s">
        <v>285</v>
      </c>
      <c r="H716" s="2">
        <v>31200</v>
      </c>
      <c r="I716" s="7">
        <v>2</v>
      </c>
      <c r="J716" s="7">
        <v>2</v>
      </c>
      <c r="K716" s="7">
        <v>2</v>
      </c>
      <c r="L716" s="7">
        <v>3</v>
      </c>
      <c r="M716" s="7">
        <v>1</v>
      </c>
      <c r="N716" s="1">
        <f t="shared" si="68"/>
        <v>2</v>
      </c>
      <c r="O716" s="1" t="str">
        <f t="shared" si="67"/>
        <v>Meets Expectations</v>
      </c>
    </row>
    <row r="717" spans="1:15" x14ac:dyDescent="0.55000000000000004">
      <c r="A717" s="3">
        <v>1238911716</v>
      </c>
      <c r="B717" s="1" t="s">
        <v>14</v>
      </c>
      <c r="C717" s="6">
        <v>36910</v>
      </c>
      <c r="D717" s="6">
        <v>43874</v>
      </c>
      <c r="E717" s="6">
        <v>45707</v>
      </c>
      <c r="F717" s="6"/>
      <c r="G717" s="1" t="s">
        <v>309</v>
      </c>
      <c r="H717" s="2">
        <v>55717.5</v>
      </c>
      <c r="I717" s="7">
        <v>3</v>
      </c>
      <c r="J717" s="7">
        <v>1</v>
      </c>
      <c r="K717" s="7">
        <v>2</v>
      </c>
      <c r="L717" s="7">
        <v>3</v>
      </c>
      <c r="M717" s="7">
        <v>1</v>
      </c>
      <c r="N717" s="1">
        <f t="shared" si="68"/>
        <v>2</v>
      </c>
      <c r="O717" s="1" t="str">
        <f t="shared" si="67"/>
        <v>Meets Expectations</v>
      </c>
    </row>
    <row r="718" spans="1:15" x14ac:dyDescent="0.55000000000000004">
      <c r="A718" s="3">
        <v>1238911717</v>
      </c>
      <c r="B718" s="1" t="s">
        <v>12</v>
      </c>
      <c r="C718" s="6">
        <v>36895</v>
      </c>
      <c r="D718" s="6">
        <v>44373</v>
      </c>
      <c r="E718" s="6"/>
      <c r="F718" s="6"/>
      <c r="G718" s="1" t="s">
        <v>310</v>
      </c>
      <c r="H718" s="2">
        <v>30056</v>
      </c>
      <c r="I718" s="7">
        <v>3</v>
      </c>
      <c r="J718" s="7">
        <v>3</v>
      </c>
      <c r="K718" s="7">
        <v>3</v>
      </c>
      <c r="L718" s="7">
        <v>1</v>
      </c>
      <c r="M718" s="7">
        <v>2</v>
      </c>
      <c r="N718" s="1">
        <f t="shared" si="68"/>
        <v>2</v>
      </c>
      <c r="O718" s="1" t="str">
        <f t="shared" si="67"/>
        <v>Meets Expectations</v>
      </c>
    </row>
    <row r="719" spans="1:15" x14ac:dyDescent="0.55000000000000004">
      <c r="A719" s="3">
        <v>1238911718</v>
      </c>
      <c r="B719" s="1" t="s">
        <v>14</v>
      </c>
      <c r="C719" s="6">
        <v>37006</v>
      </c>
      <c r="D719" s="6">
        <v>45583</v>
      </c>
      <c r="E719" s="6"/>
      <c r="F719" s="6"/>
      <c r="G719" s="1" t="s">
        <v>289</v>
      </c>
      <c r="H719" s="2">
        <v>57500</v>
      </c>
      <c r="I719" s="7">
        <v>2</v>
      </c>
      <c r="J719" s="7">
        <v>3</v>
      </c>
      <c r="K719" s="7">
        <v>1</v>
      </c>
      <c r="L719" s="7">
        <v>1</v>
      </c>
      <c r="M719" s="7">
        <v>2</v>
      </c>
      <c r="N719" s="1">
        <f t="shared" si="68"/>
        <v>2</v>
      </c>
      <c r="O719" s="1" t="str">
        <f t="shared" si="67"/>
        <v>Meets Expectations</v>
      </c>
    </row>
    <row r="720" spans="1:15" x14ac:dyDescent="0.55000000000000004">
      <c r="A720" s="3">
        <v>1238911719</v>
      </c>
      <c r="B720" s="1" t="s">
        <v>12</v>
      </c>
      <c r="C720" s="6">
        <v>37133</v>
      </c>
      <c r="D720" s="6">
        <v>44619</v>
      </c>
      <c r="E720" s="6"/>
      <c r="F720" s="6"/>
      <c r="G720" s="1" t="s">
        <v>311</v>
      </c>
      <c r="H720" s="2">
        <v>31927.5</v>
      </c>
      <c r="I720" s="7">
        <v>3</v>
      </c>
      <c r="J720" s="7">
        <v>1</v>
      </c>
      <c r="K720" s="7">
        <v>2</v>
      </c>
      <c r="L720" s="7">
        <v>2</v>
      </c>
      <c r="M720" s="7">
        <v>1</v>
      </c>
      <c r="N720" s="1">
        <f t="shared" si="68"/>
        <v>2</v>
      </c>
      <c r="O720" s="1" t="str">
        <f t="shared" si="67"/>
        <v>Meets Expectations</v>
      </c>
    </row>
    <row r="721" spans="1:15" x14ac:dyDescent="0.55000000000000004">
      <c r="A721" s="3">
        <v>1238911720</v>
      </c>
      <c r="B721" s="1" t="s">
        <v>14</v>
      </c>
      <c r="C721" s="6">
        <v>36049</v>
      </c>
      <c r="D721" s="6">
        <v>45414</v>
      </c>
      <c r="E721" s="6"/>
      <c r="F721" s="6"/>
      <c r="G721" s="1" t="s">
        <v>312</v>
      </c>
      <c r="H721" s="2">
        <v>50023.75</v>
      </c>
      <c r="I721" s="7">
        <v>3</v>
      </c>
      <c r="J721" s="7">
        <v>1</v>
      </c>
      <c r="K721" s="7">
        <v>3</v>
      </c>
      <c r="L721" s="7">
        <v>1</v>
      </c>
      <c r="M721" s="7">
        <v>2</v>
      </c>
      <c r="N721" s="1">
        <f t="shared" si="68"/>
        <v>2</v>
      </c>
      <c r="O721" s="1" t="str">
        <f t="shared" si="67"/>
        <v>Meets Expectations</v>
      </c>
    </row>
    <row r="722" spans="1:15" x14ac:dyDescent="0.55000000000000004">
      <c r="A722" s="3">
        <v>1238911721</v>
      </c>
      <c r="B722" s="1" t="s">
        <v>12</v>
      </c>
      <c r="C722" s="6">
        <v>37184</v>
      </c>
      <c r="D722" s="6">
        <v>43958</v>
      </c>
      <c r="E722" s="6"/>
      <c r="F722" s="6"/>
      <c r="G722" s="1" t="s">
        <v>87</v>
      </c>
      <c r="H722" s="2">
        <v>34320</v>
      </c>
      <c r="I722" s="7">
        <v>1</v>
      </c>
      <c r="J722" s="7">
        <v>1</v>
      </c>
      <c r="K722" s="7">
        <v>3</v>
      </c>
      <c r="L722" s="7">
        <v>2</v>
      </c>
      <c r="M722" s="7">
        <v>1</v>
      </c>
      <c r="N722" s="1">
        <f t="shared" si="68"/>
        <v>2</v>
      </c>
      <c r="O722" s="1" t="str">
        <f t="shared" si="67"/>
        <v>Meets Expectations</v>
      </c>
    </row>
    <row r="723" spans="1:15" x14ac:dyDescent="0.55000000000000004">
      <c r="A723" s="3">
        <v>1238911722</v>
      </c>
      <c r="B723" s="1" t="s">
        <v>12</v>
      </c>
      <c r="C723" s="6">
        <v>37042</v>
      </c>
      <c r="D723" s="6">
        <v>44442</v>
      </c>
      <c r="E723" s="6">
        <v>45224</v>
      </c>
      <c r="F723" s="6"/>
      <c r="G723" s="1" t="s">
        <v>87</v>
      </c>
      <c r="H723" s="2">
        <v>34320</v>
      </c>
      <c r="I723" s="7">
        <v>1</v>
      </c>
      <c r="J723" s="7">
        <v>3</v>
      </c>
      <c r="K723" s="7">
        <v>1</v>
      </c>
      <c r="L723" s="7">
        <v>3</v>
      </c>
      <c r="M723" s="7">
        <v>1</v>
      </c>
      <c r="N723" s="1">
        <f t="shared" si="68"/>
        <v>2</v>
      </c>
      <c r="O723" s="1" t="str">
        <f t="shared" si="67"/>
        <v>Meets Expectations</v>
      </c>
    </row>
    <row r="724" spans="1:15" x14ac:dyDescent="0.55000000000000004">
      <c r="A724" s="3">
        <v>1238911723</v>
      </c>
      <c r="B724" s="1" t="s">
        <v>14</v>
      </c>
      <c r="C724" s="6">
        <v>37190</v>
      </c>
      <c r="D724" s="6">
        <v>44305</v>
      </c>
      <c r="E724" s="6">
        <v>45238</v>
      </c>
      <c r="F724" s="6"/>
      <c r="G724" s="1" t="s">
        <v>313</v>
      </c>
      <c r="H724" s="2">
        <v>53820</v>
      </c>
      <c r="I724" s="7">
        <v>1</v>
      </c>
      <c r="J724" s="7">
        <v>3</v>
      </c>
      <c r="K724" s="7">
        <v>1</v>
      </c>
      <c r="L724" s="7">
        <v>2</v>
      </c>
      <c r="M724" s="7">
        <v>1</v>
      </c>
      <c r="N724" s="1">
        <f t="shared" si="68"/>
        <v>2</v>
      </c>
      <c r="O724" s="1" t="str">
        <f t="shared" si="67"/>
        <v>Meets Expectations</v>
      </c>
    </row>
    <row r="725" spans="1:15" x14ac:dyDescent="0.55000000000000004">
      <c r="A725" s="3">
        <v>1238911724</v>
      </c>
      <c r="B725" s="1" t="s">
        <v>12</v>
      </c>
      <c r="C725" s="6">
        <v>37258</v>
      </c>
      <c r="D725" s="6">
        <v>45077</v>
      </c>
      <c r="E725" s="6"/>
      <c r="F725" s="6"/>
      <c r="G725" s="1" t="s">
        <v>314</v>
      </c>
      <c r="H725" s="2">
        <v>34320</v>
      </c>
      <c r="I725" s="7">
        <v>1</v>
      </c>
      <c r="J725" s="7">
        <v>1</v>
      </c>
      <c r="K725" s="7">
        <v>2</v>
      </c>
      <c r="L725" s="7">
        <v>3</v>
      </c>
      <c r="M725" s="7">
        <v>3</v>
      </c>
      <c r="N725" s="1">
        <f t="shared" si="68"/>
        <v>2</v>
      </c>
      <c r="O725" s="1" t="str">
        <f t="shared" si="67"/>
        <v>Meets Expectations</v>
      </c>
    </row>
    <row r="726" spans="1:15" x14ac:dyDescent="0.55000000000000004">
      <c r="A726" s="3">
        <v>1238911725</v>
      </c>
      <c r="B726" s="1" t="s">
        <v>14</v>
      </c>
      <c r="C726" s="6">
        <v>37264</v>
      </c>
      <c r="D726" s="6">
        <v>45590</v>
      </c>
      <c r="E726" s="6">
        <v>45770</v>
      </c>
      <c r="F726" s="15" t="str">
        <f t="shared" ref="F726:F727" ca="1" si="70">IF(E726="",DATEDIF(D726,TODAY(),"y")&amp; "Years" &amp;DATEDIF(D726,TODAY(),"ym")&amp; "Months"&amp;DATEDIF(D726,TODAY(),"md") &amp;"Days",DATEDIF(D726,E726,"y")&amp; "Years" &amp;DATEDIF(D726,E726,"ym")&amp; "Months"&amp;DATEDIF(D726,E726,"md") &amp;"Days")</f>
        <v>0Years5Months29Days</v>
      </c>
      <c r="G726" s="1" t="s">
        <v>269</v>
      </c>
      <c r="H726" s="2">
        <v>44200</v>
      </c>
      <c r="I726" s="7">
        <v>2</v>
      </c>
      <c r="J726" s="7">
        <v>2</v>
      </c>
      <c r="K726" s="7">
        <v>1</v>
      </c>
      <c r="L726" s="7">
        <v>2</v>
      </c>
      <c r="M726" s="7">
        <v>2</v>
      </c>
      <c r="N726" s="1">
        <f t="shared" si="68"/>
        <v>2</v>
      </c>
      <c r="O726" s="1" t="str">
        <f t="shared" si="67"/>
        <v>Meets Expectations</v>
      </c>
    </row>
    <row r="727" spans="1:15" x14ac:dyDescent="0.55000000000000004">
      <c r="A727" s="3">
        <v>1238911726</v>
      </c>
      <c r="B727" s="1" t="s">
        <v>14</v>
      </c>
      <c r="C727" s="6">
        <v>36169</v>
      </c>
      <c r="D727" s="6">
        <v>43522</v>
      </c>
      <c r="E727" s="6"/>
      <c r="F727" s="15" t="str">
        <f t="shared" ca="1" si="70"/>
        <v>7Years2Months17Days</v>
      </c>
      <c r="G727" s="1" t="s">
        <v>315</v>
      </c>
      <c r="H727" s="2">
        <v>42900</v>
      </c>
      <c r="I727" s="7">
        <v>3</v>
      </c>
      <c r="J727" s="7">
        <v>1</v>
      </c>
      <c r="K727" s="7">
        <v>3</v>
      </c>
      <c r="L727" s="7">
        <v>2</v>
      </c>
      <c r="M727" s="7">
        <v>2</v>
      </c>
      <c r="N727" s="1">
        <f t="shared" si="68"/>
        <v>2</v>
      </c>
      <c r="O727" s="1" t="str">
        <f t="shared" si="67"/>
        <v>Meets Expectations</v>
      </c>
    </row>
    <row r="728" spans="1:15" x14ac:dyDescent="0.55000000000000004">
      <c r="A728" s="3">
        <v>1238911727</v>
      </c>
      <c r="B728" s="1" t="s">
        <v>14</v>
      </c>
      <c r="C728" s="6">
        <v>37290</v>
      </c>
      <c r="D728" s="6">
        <v>44335</v>
      </c>
      <c r="E728" s="6">
        <v>45086</v>
      </c>
      <c r="F728" s="6"/>
      <c r="G728" s="1" t="s">
        <v>74</v>
      </c>
      <c r="H728" s="2">
        <v>52500</v>
      </c>
      <c r="I728" s="7">
        <v>3</v>
      </c>
      <c r="J728" s="7">
        <v>3</v>
      </c>
      <c r="K728" s="7">
        <v>1</v>
      </c>
      <c r="L728" s="7">
        <v>3</v>
      </c>
      <c r="M728" s="7">
        <v>3</v>
      </c>
      <c r="N728" s="1">
        <f t="shared" si="68"/>
        <v>3</v>
      </c>
      <c r="O728" s="1" t="str">
        <f t="shared" si="67"/>
        <v>Exceeds Expectations</v>
      </c>
    </row>
    <row r="729" spans="1:15" x14ac:dyDescent="0.55000000000000004">
      <c r="A729" s="3">
        <v>1238911728</v>
      </c>
      <c r="B729" s="1" t="s">
        <v>12</v>
      </c>
      <c r="C729" s="6">
        <v>37329</v>
      </c>
      <c r="D729" s="6">
        <v>44033</v>
      </c>
      <c r="E729" s="6">
        <v>44651</v>
      </c>
      <c r="F729" s="6"/>
      <c r="G729" s="1" t="s">
        <v>247</v>
      </c>
      <c r="H729" s="2">
        <v>43732.5</v>
      </c>
      <c r="I729" s="7">
        <v>3</v>
      </c>
      <c r="J729" s="7">
        <v>2</v>
      </c>
      <c r="K729" s="7">
        <v>2</v>
      </c>
      <c r="L729" s="7">
        <v>1</v>
      </c>
      <c r="M729" s="7">
        <v>1</v>
      </c>
      <c r="N729" s="1">
        <f t="shared" si="68"/>
        <v>2</v>
      </c>
      <c r="O729" s="1" t="str">
        <f t="shared" si="67"/>
        <v>Meets Expectations</v>
      </c>
    </row>
    <row r="730" spans="1:15" x14ac:dyDescent="0.55000000000000004">
      <c r="A730" s="3">
        <v>1238911729</v>
      </c>
      <c r="B730" s="1" t="s">
        <v>12</v>
      </c>
      <c r="C730" s="6">
        <v>37452</v>
      </c>
      <c r="D730" s="6">
        <v>44526</v>
      </c>
      <c r="E730" s="6"/>
      <c r="F730" s="6"/>
      <c r="G730" s="1" t="s">
        <v>44</v>
      </c>
      <c r="H730" s="2">
        <v>28600</v>
      </c>
      <c r="I730" s="7">
        <v>3</v>
      </c>
      <c r="J730" s="7">
        <v>1</v>
      </c>
      <c r="K730" s="7">
        <v>3</v>
      </c>
      <c r="L730" s="7">
        <v>2</v>
      </c>
      <c r="M730" s="7">
        <v>1</v>
      </c>
      <c r="N730" s="1">
        <f t="shared" si="68"/>
        <v>2</v>
      </c>
      <c r="O730" s="1" t="str">
        <f t="shared" si="67"/>
        <v>Meets Expectations</v>
      </c>
    </row>
    <row r="731" spans="1:15" x14ac:dyDescent="0.55000000000000004">
      <c r="A731" s="3">
        <v>1238911730</v>
      </c>
      <c r="B731" s="1" t="s">
        <v>12</v>
      </c>
      <c r="C731" s="6">
        <v>37470</v>
      </c>
      <c r="D731" s="6">
        <v>45412</v>
      </c>
      <c r="E731" s="6"/>
      <c r="F731" s="6"/>
      <c r="G731" s="1" t="s">
        <v>44</v>
      </c>
      <c r="H731" s="2">
        <v>28600</v>
      </c>
      <c r="I731" s="7">
        <v>2</v>
      </c>
      <c r="J731" s="7">
        <v>2</v>
      </c>
      <c r="K731" s="7">
        <v>1</v>
      </c>
      <c r="L731" s="7">
        <v>1</v>
      </c>
      <c r="M731" s="7">
        <v>2</v>
      </c>
      <c r="N731" s="1">
        <f t="shared" si="68"/>
        <v>2</v>
      </c>
      <c r="O731" s="1" t="str">
        <f t="shared" si="67"/>
        <v>Meets Expectations</v>
      </c>
    </row>
    <row r="732" spans="1:15" x14ac:dyDescent="0.55000000000000004">
      <c r="A732" s="3">
        <v>1238911731</v>
      </c>
      <c r="B732" s="1" t="s">
        <v>12</v>
      </c>
      <c r="C732" s="6">
        <v>36044</v>
      </c>
      <c r="D732" s="6">
        <v>43933</v>
      </c>
      <c r="E732" s="6">
        <v>45106</v>
      </c>
      <c r="F732" s="6"/>
      <c r="G732" s="1" t="s">
        <v>316</v>
      </c>
      <c r="H732" s="2">
        <v>27300</v>
      </c>
      <c r="I732" s="7">
        <v>1</v>
      </c>
      <c r="J732" s="7">
        <v>3</v>
      </c>
      <c r="K732" s="7">
        <v>1</v>
      </c>
      <c r="L732" s="7">
        <v>1</v>
      </c>
      <c r="M732" s="7">
        <v>1</v>
      </c>
      <c r="N732" s="1">
        <f t="shared" si="68"/>
        <v>1</v>
      </c>
      <c r="O732" s="1" t="str">
        <f t="shared" si="67"/>
        <v>Below Expectations</v>
      </c>
    </row>
    <row r="733" spans="1:15" x14ac:dyDescent="0.55000000000000004">
      <c r="A733" s="3">
        <v>1238911732</v>
      </c>
      <c r="B733" s="1" t="s">
        <v>14</v>
      </c>
      <c r="C733" s="6">
        <v>37547</v>
      </c>
      <c r="D733" s="6">
        <v>45883</v>
      </c>
      <c r="E733" s="6"/>
      <c r="F733" s="15" t="str">
        <f ca="1">IF(E733="",DATEDIF(D733,TODAY(),"y")&amp; "Years" &amp;DATEDIF(D733,TODAY(),"ym")&amp; "Months"&amp;DATEDIF(D733,TODAY(),"md") &amp;"Days",DATEDIF(D733,E733,"y")&amp; "Years" &amp;DATEDIF(D733,E733,"ym")&amp; "Months"&amp;DATEDIF(D733,E733,"md") &amp;"Days")</f>
        <v>0Years8Months29Days</v>
      </c>
      <c r="G733" s="1" t="s">
        <v>18</v>
      </c>
      <c r="H733" s="2">
        <v>33800</v>
      </c>
      <c r="I733" s="7">
        <v>3</v>
      </c>
      <c r="J733" s="7">
        <v>3</v>
      </c>
      <c r="K733" s="7">
        <v>1</v>
      </c>
      <c r="L733" s="7">
        <v>3</v>
      </c>
      <c r="M733" s="7">
        <v>2</v>
      </c>
      <c r="N733" s="1">
        <f t="shared" si="68"/>
        <v>2</v>
      </c>
      <c r="O733" s="1" t="str">
        <f t="shared" si="67"/>
        <v>Meets Expectations</v>
      </c>
    </row>
    <row r="734" spans="1:15" x14ac:dyDescent="0.55000000000000004">
      <c r="A734" s="3">
        <v>1238911733</v>
      </c>
      <c r="B734" s="1" t="s">
        <v>12</v>
      </c>
      <c r="C734" s="6">
        <v>36168</v>
      </c>
      <c r="D734" s="6">
        <v>44823</v>
      </c>
      <c r="E734" s="6">
        <v>45245</v>
      </c>
      <c r="F734" s="6"/>
      <c r="G734" s="1" t="s">
        <v>84</v>
      </c>
      <c r="H734" s="2">
        <v>33800</v>
      </c>
      <c r="I734" s="7">
        <v>1</v>
      </c>
      <c r="J734" s="7">
        <v>1</v>
      </c>
      <c r="K734" s="7">
        <v>1</v>
      </c>
      <c r="L734" s="7">
        <v>2</v>
      </c>
      <c r="M734" s="7">
        <v>2</v>
      </c>
      <c r="N734" s="1">
        <f t="shared" si="68"/>
        <v>1</v>
      </c>
      <c r="O734" s="1" t="str">
        <f t="shared" si="67"/>
        <v>Below Expectations</v>
      </c>
    </row>
    <row r="735" spans="1:15" x14ac:dyDescent="0.55000000000000004">
      <c r="A735" s="3">
        <v>1238911734</v>
      </c>
      <c r="B735" s="1" t="s">
        <v>14</v>
      </c>
      <c r="C735" s="6">
        <v>37660</v>
      </c>
      <c r="D735" s="6">
        <v>45703</v>
      </c>
      <c r="E735" s="6"/>
      <c r="F735" s="15" t="str">
        <f ca="1">IF(E735="",DATEDIF(D735,TODAY(),"y")&amp; "Years" &amp;DATEDIF(D735,TODAY(),"ym")&amp; "Months"&amp;DATEDIF(D735,TODAY(),"md") &amp;"Days",DATEDIF(D735,E735,"y")&amp; "Years" &amp;DATEDIF(D735,E735,"ym")&amp; "Months"&amp;DATEDIF(D735,E735,"md") &amp;"Days")</f>
        <v>1Years2Months28Days</v>
      </c>
      <c r="G735" s="1" t="s">
        <v>133</v>
      </c>
      <c r="H735" s="2">
        <v>31200</v>
      </c>
      <c r="I735" s="7">
        <v>2</v>
      </c>
      <c r="J735" s="7">
        <v>2</v>
      </c>
      <c r="K735" s="7">
        <v>1</v>
      </c>
      <c r="L735" s="7">
        <v>2</v>
      </c>
      <c r="M735" s="7">
        <v>2</v>
      </c>
      <c r="N735" s="1">
        <f t="shared" si="68"/>
        <v>2</v>
      </c>
      <c r="O735" s="1" t="str">
        <f t="shared" si="67"/>
        <v>Meets Expectations</v>
      </c>
    </row>
    <row r="736" spans="1:15" x14ac:dyDescent="0.55000000000000004">
      <c r="A736" s="3">
        <v>1238911735</v>
      </c>
      <c r="B736" s="1" t="s">
        <v>12</v>
      </c>
      <c r="C736" s="6">
        <v>37713</v>
      </c>
      <c r="D736" s="6">
        <v>45107</v>
      </c>
      <c r="E736" s="6"/>
      <c r="F736" s="6"/>
      <c r="G736" s="1" t="s">
        <v>317</v>
      </c>
      <c r="H736" s="2">
        <v>39000</v>
      </c>
      <c r="I736" s="7">
        <v>2</v>
      </c>
      <c r="J736" s="7">
        <v>3</v>
      </c>
      <c r="K736" s="7">
        <v>3</v>
      </c>
      <c r="L736" s="7">
        <v>2</v>
      </c>
      <c r="M736" s="7">
        <v>3</v>
      </c>
      <c r="N736" s="1">
        <f t="shared" si="68"/>
        <v>3</v>
      </c>
      <c r="O736" s="1" t="str">
        <f t="shared" si="67"/>
        <v>Exceeds Expectations</v>
      </c>
    </row>
    <row r="737" spans="1:15" x14ac:dyDescent="0.55000000000000004">
      <c r="A737" s="3">
        <v>1238911736</v>
      </c>
      <c r="B737" s="1" t="s">
        <v>14</v>
      </c>
      <c r="C737" s="6">
        <v>37753</v>
      </c>
      <c r="D737" s="6">
        <v>44634</v>
      </c>
      <c r="E737" s="6"/>
      <c r="F737" s="15" t="str">
        <f t="shared" ref="F737:F739" ca="1" si="71">IF(E737="",DATEDIF(D737,TODAY(),"y")&amp; "Years" &amp;DATEDIF(D737,TODAY(),"ym")&amp; "Months"&amp;DATEDIF(D737,TODAY(),"md") &amp;"Days",DATEDIF(D737,E737,"y")&amp; "Years" &amp;DATEDIF(D737,E737,"ym")&amp; "Months"&amp;DATEDIF(D737,E737,"md") &amp;"Days")</f>
        <v>4Years1Months29Days</v>
      </c>
      <c r="G737" s="1" t="s">
        <v>44</v>
      </c>
      <c r="H737" s="2">
        <v>31200</v>
      </c>
      <c r="I737" s="7">
        <v>3</v>
      </c>
      <c r="J737" s="7">
        <v>3</v>
      </c>
      <c r="K737" s="7">
        <v>1</v>
      </c>
      <c r="L737" s="7">
        <v>3</v>
      </c>
      <c r="M737" s="7">
        <v>1</v>
      </c>
      <c r="N737" s="1">
        <f t="shared" si="68"/>
        <v>2</v>
      </c>
      <c r="O737" s="1" t="str">
        <f t="shared" si="67"/>
        <v>Meets Expectations</v>
      </c>
    </row>
    <row r="738" spans="1:15" x14ac:dyDescent="0.55000000000000004">
      <c r="A738" s="3">
        <v>1238911737</v>
      </c>
      <c r="B738" s="1" t="s">
        <v>14</v>
      </c>
      <c r="C738" s="6">
        <v>37806</v>
      </c>
      <c r="D738" s="6">
        <v>44472</v>
      </c>
      <c r="E738" s="6">
        <v>45154</v>
      </c>
      <c r="F738" s="15" t="str">
        <f t="shared" ca="1" si="71"/>
        <v>1Years10Months13Days</v>
      </c>
      <c r="G738" s="1" t="s">
        <v>44</v>
      </c>
      <c r="H738" s="2">
        <v>28600</v>
      </c>
      <c r="I738" s="7">
        <v>3</v>
      </c>
      <c r="J738" s="7">
        <v>3</v>
      </c>
      <c r="K738" s="7">
        <v>1</v>
      </c>
      <c r="L738" s="7">
        <v>3</v>
      </c>
      <c r="M738" s="7">
        <v>2</v>
      </c>
      <c r="N738" s="1">
        <f t="shared" si="68"/>
        <v>2</v>
      </c>
      <c r="O738" s="1" t="str">
        <f t="shared" si="67"/>
        <v>Meets Expectations</v>
      </c>
    </row>
    <row r="739" spans="1:15" x14ac:dyDescent="0.55000000000000004">
      <c r="A739" s="3">
        <v>1238911738</v>
      </c>
      <c r="B739" s="1" t="s">
        <v>14</v>
      </c>
      <c r="C739" s="6">
        <v>37889</v>
      </c>
      <c r="D739" s="6">
        <v>45286</v>
      </c>
      <c r="E739" s="6"/>
      <c r="F739" s="15" t="str">
        <f t="shared" ca="1" si="71"/>
        <v>2Years4Months17Days</v>
      </c>
      <c r="G739" s="1" t="s">
        <v>318</v>
      </c>
      <c r="H739" s="2">
        <v>32343.75</v>
      </c>
      <c r="I739" s="7">
        <v>1</v>
      </c>
      <c r="J739" s="7">
        <v>2</v>
      </c>
      <c r="K739" s="7">
        <v>2</v>
      </c>
      <c r="L739" s="7">
        <v>3</v>
      </c>
      <c r="M739" s="7">
        <v>2</v>
      </c>
      <c r="N739" s="1">
        <f t="shared" si="68"/>
        <v>2</v>
      </c>
      <c r="O739" s="1" t="str">
        <f t="shared" si="67"/>
        <v>Meets Expectations</v>
      </c>
    </row>
    <row r="740" spans="1:15" x14ac:dyDescent="0.55000000000000004">
      <c r="A740" s="3">
        <v>1238911739</v>
      </c>
      <c r="B740" s="1" t="s">
        <v>12</v>
      </c>
      <c r="C740" s="6">
        <v>37931</v>
      </c>
      <c r="D740" s="6">
        <v>44754</v>
      </c>
      <c r="E740" s="6"/>
      <c r="F740" s="6"/>
      <c r="G740" s="1" t="s">
        <v>316</v>
      </c>
      <c r="H740" s="2">
        <v>27300</v>
      </c>
      <c r="I740" s="7">
        <v>1</v>
      </c>
      <c r="J740" s="7">
        <v>2</v>
      </c>
      <c r="K740" s="7">
        <v>2</v>
      </c>
      <c r="L740" s="7">
        <v>1</v>
      </c>
      <c r="M740" s="7">
        <v>3</v>
      </c>
      <c r="N740" s="1">
        <f t="shared" si="68"/>
        <v>2</v>
      </c>
      <c r="O740" s="1" t="str">
        <f t="shared" si="67"/>
        <v>Meets Expectations</v>
      </c>
    </row>
    <row r="741" spans="1:15" x14ac:dyDescent="0.55000000000000004">
      <c r="A741" s="3">
        <v>1238911740</v>
      </c>
      <c r="B741" s="1" t="s">
        <v>14</v>
      </c>
      <c r="C741" s="6">
        <v>36190</v>
      </c>
      <c r="D741" s="6">
        <v>44701</v>
      </c>
      <c r="E741" s="6">
        <v>45910</v>
      </c>
      <c r="F741" s="6"/>
      <c r="G741" s="1" t="s">
        <v>319</v>
      </c>
      <c r="H741" s="2">
        <v>55900</v>
      </c>
      <c r="I741" s="7">
        <v>2</v>
      </c>
      <c r="J741" s="7">
        <v>3</v>
      </c>
      <c r="K741" s="7">
        <v>2</v>
      </c>
      <c r="L741" s="7">
        <v>2</v>
      </c>
      <c r="M741" s="7">
        <v>1</v>
      </c>
      <c r="N741" s="1">
        <f t="shared" si="68"/>
        <v>2</v>
      </c>
      <c r="O741" s="1" t="str">
        <f t="shared" si="67"/>
        <v>Meets Expectations</v>
      </c>
    </row>
    <row r="742" spans="1:15" x14ac:dyDescent="0.55000000000000004">
      <c r="A742" s="3">
        <v>1238911741</v>
      </c>
      <c r="B742" s="1" t="s">
        <v>14</v>
      </c>
      <c r="C742" s="6">
        <v>36610</v>
      </c>
      <c r="D742" s="6">
        <v>44457</v>
      </c>
      <c r="E742" s="6">
        <v>44790</v>
      </c>
      <c r="F742" s="15" t="str">
        <f ca="1">IF(E742="",DATEDIF(D742,TODAY(),"y")&amp; "Years" &amp;DATEDIF(D742,TODAY(),"ym")&amp; "Months"&amp;DATEDIF(D742,TODAY(),"md") &amp;"Days",DATEDIF(D742,E742,"y")&amp; "Years" &amp;DATEDIF(D742,E742,"ym")&amp; "Months"&amp;DATEDIF(D742,E742,"md") &amp;"Days")</f>
        <v>0Years10Months30Days</v>
      </c>
      <c r="G742" s="1" t="s">
        <v>133</v>
      </c>
      <c r="H742" s="2">
        <v>31668</v>
      </c>
      <c r="I742" s="7">
        <v>2</v>
      </c>
      <c r="J742" s="7">
        <v>3</v>
      </c>
      <c r="K742" s="7">
        <v>1</v>
      </c>
      <c r="L742" s="7">
        <v>3</v>
      </c>
      <c r="M742" s="7">
        <v>2</v>
      </c>
      <c r="N742" s="1">
        <f t="shared" si="68"/>
        <v>2</v>
      </c>
      <c r="O742" s="1" t="str">
        <f t="shared" si="67"/>
        <v>Meets Expectations</v>
      </c>
    </row>
    <row r="743" spans="1:15" x14ac:dyDescent="0.55000000000000004">
      <c r="A743" s="3">
        <v>1238911742</v>
      </c>
      <c r="B743" s="1" t="s">
        <v>12</v>
      </c>
      <c r="C743" s="6">
        <v>38237</v>
      </c>
      <c r="D743" s="6">
        <v>45799</v>
      </c>
      <c r="E743" s="6"/>
      <c r="F743" s="6"/>
      <c r="G743" s="1" t="s">
        <v>320</v>
      </c>
      <c r="H743" s="2">
        <v>43758</v>
      </c>
      <c r="I743" s="7">
        <v>3</v>
      </c>
      <c r="J743" s="7">
        <v>1</v>
      </c>
      <c r="K743" s="7">
        <v>2</v>
      </c>
      <c r="L743" s="7">
        <v>1</v>
      </c>
      <c r="M743" s="7">
        <v>2</v>
      </c>
      <c r="N743" s="1">
        <f t="shared" si="68"/>
        <v>2</v>
      </c>
      <c r="O743" s="1" t="str">
        <f t="shared" si="67"/>
        <v>Meets Expectations</v>
      </c>
    </row>
    <row r="744" spans="1:15" x14ac:dyDescent="0.55000000000000004">
      <c r="A744" s="3">
        <v>1238911743</v>
      </c>
      <c r="B744" s="1" t="s">
        <v>14</v>
      </c>
      <c r="C744" s="6">
        <v>38321</v>
      </c>
      <c r="D744" s="6">
        <v>45612</v>
      </c>
      <c r="E744" s="6"/>
      <c r="F744" s="15" t="str">
        <f t="shared" ref="F744:F745" ca="1" si="72">IF(E744="",DATEDIF(D744,TODAY(),"y")&amp; "Years" &amp;DATEDIF(D744,TODAY(),"ym")&amp; "Months"&amp;DATEDIF(D744,TODAY(),"md") &amp;"Days",DATEDIF(D744,E744,"y")&amp; "Years" &amp;DATEDIF(D744,E744,"ym")&amp; "Months"&amp;DATEDIF(D744,E744,"md") &amp;"Days")</f>
        <v>1Years5Months27Days</v>
      </c>
      <c r="G744" s="1" t="s">
        <v>44</v>
      </c>
      <c r="H744" s="2">
        <v>31200</v>
      </c>
      <c r="I744" s="7">
        <v>3</v>
      </c>
      <c r="J744" s="7">
        <v>1</v>
      </c>
      <c r="K744" s="7">
        <v>3</v>
      </c>
      <c r="L744" s="7">
        <v>3</v>
      </c>
      <c r="M744" s="7">
        <v>2</v>
      </c>
      <c r="N744" s="1">
        <f t="shared" si="68"/>
        <v>2</v>
      </c>
      <c r="O744" s="1" t="str">
        <f t="shared" si="67"/>
        <v>Meets Expectations</v>
      </c>
    </row>
    <row r="745" spans="1:15" x14ac:dyDescent="0.55000000000000004">
      <c r="A745" s="3">
        <v>1238911744</v>
      </c>
      <c r="B745" s="1" t="s">
        <v>14</v>
      </c>
      <c r="C745" s="6">
        <v>38484</v>
      </c>
      <c r="D745" s="6">
        <v>45395</v>
      </c>
      <c r="E745" s="6">
        <v>45910</v>
      </c>
      <c r="F745" s="15" t="str">
        <f t="shared" ca="1" si="72"/>
        <v>1Years4Months28Days</v>
      </c>
      <c r="G745" s="1" t="s">
        <v>25</v>
      </c>
      <c r="H745" s="2">
        <v>27300</v>
      </c>
      <c r="I745" s="7">
        <v>2</v>
      </c>
      <c r="J745" s="7">
        <v>2</v>
      </c>
      <c r="K745" s="7">
        <v>2</v>
      </c>
      <c r="L745" s="7">
        <v>2</v>
      </c>
      <c r="M745" s="7">
        <v>1</v>
      </c>
      <c r="N745" s="1">
        <f t="shared" si="68"/>
        <v>2</v>
      </c>
      <c r="O745" s="1" t="str">
        <f t="shared" si="67"/>
        <v>Meets Expectations</v>
      </c>
    </row>
    <row r="746" spans="1:15" x14ac:dyDescent="0.55000000000000004">
      <c r="A746" s="3">
        <v>1238911745</v>
      </c>
      <c r="B746" s="1" t="s">
        <v>12</v>
      </c>
      <c r="C746" s="6">
        <v>38146</v>
      </c>
      <c r="D746" s="6">
        <v>45631</v>
      </c>
      <c r="E746" s="6"/>
      <c r="F746" s="6"/>
      <c r="G746" s="1" t="s">
        <v>310</v>
      </c>
      <c r="H746" s="2">
        <v>31200</v>
      </c>
      <c r="I746" s="7">
        <v>1</v>
      </c>
      <c r="J746" s="7">
        <v>2</v>
      </c>
      <c r="K746" s="7">
        <v>3</v>
      </c>
      <c r="L746" s="7">
        <v>3</v>
      </c>
      <c r="M746" s="7">
        <v>3</v>
      </c>
      <c r="N746" s="1">
        <f t="shared" si="68"/>
        <v>2</v>
      </c>
      <c r="O746" s="1" t="str">
        <f t="shared" si="67"/>
        <v>Meets Expectations</v>
      </c>
    </row>
    <row r="747" spans="1:15" x14ac:dyDescent="0.55000000000000004">
      <c r="A747" s="3">
        <v>1238911746</v>
      </c>
      <c r="B747" s="1" t="s">
        <v>12</v>
      </c>
      <c r="C747" s="6">
        <v>38470</v>
      </c>
      <c r="D747" s="6">
        <v>45040</v>
      </c>
      <c r="E747" s="6"/>
      <c r="F747" s="6"/>
      <c r="G747" s="1" t="s">
        <v>25</v>
      </c>
      <c r="H747" s="2">
        <v>28600</v>
      </c>
      <c r="I747" s="7">
        <v>2</v>
      </c>
      <c r="J747" s="7">
        <v>1</v>
      </c>
      <c r="K747" s="7">
        <v>1</v>
      </c>
      <c r="L747" s="7">
        <v>1</v>
      </c>
      <c r="M747" s="7">
        <v>1</v>
      </c>
      <c r="N747" s="1">
        <f t="shared" si="68"/>
        <v>1</v>
      </c>
      <c r="O747" s="1" t="str">
        <f t="shared" si="67"/>
        <v>Below Expectations</v>
      </c>
    </row>
    <row r="748" spans="1:15" x14ac:dyDescent="0.55000000000000004">
      <c r="A748" s="3">
        <v>1238911747</v>
      </c>
      <c r="B748" s="1" t="s">
        <v>12</v>
      </c>
      <c r="C748" s="6">
        <v>38551</v>
      </c>
      <c r="D748" s="6">
        <v>45146</v>
      </c>
      <c r="E748" s="6">
        <v>45728</v>
      </c>
      <c r="F748" s="6"/>
      <c r="G748" s="1" t="s">
        <v>25</v>
      </c>
      <c r="H748" s="2">
        <v>31200</v>
      </c>
      <c r="I748" s="7">
        <v>3</v>
      </c>
      <c r="J748" s="7">
        <v>1</v>
      </c>
      <c r="K748" s="7">
        <v>1</v>
      </c>
      <c r="L748" s="7">
        <v>2</v>
      </c>
      <c r="M748" s="7">
        <v>1</v>
      </c>
      <c r="N748" s="1">
        <f t="shared" si="68"/>
        <v>2</v>
      </c>
      <c r="O748" s="1" t="str">
        <f t="shared" si="67"/>
        <v>Meets Expectations</v>
      </c>
    </row>
  </sheetData>
  <autoFilter ref="A1:O74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838B-C044-4E74-BFC8-B8E3984715E0}">
  <dimension ref="A1:L426"/>
  <sheetViews>
    <sheetView topLeftCell="C1" workbookViewId="0">
      <selection activeCell="G1" sqref="G1"/>
    </sheetView>
  </sheetViews>
  <sheetFormatPr defaultColWidth="8.83984375" defaultRowHeight="14.4" x14ac:dyDescent="0.55000000000000004"/>
  <cols>
    <col min="1" max="5" width="22" style="1" customWidth="1"/>
    <col min="6" max="6" width="41.26171875" style="1" bestFit="1" customWidth="1"/>
    <col min="7" max="7" width="14.41796875" style="1" customWidth="1"/>
    <col min="8" max="12" width="21.578125" style="8" customWidth="1"/>
    <col min="13" max="16384" width="8.83984375" style="1"/>
  </cols>
  <sheetData>
    <row r="1" spans="1:12" x14ac:dyDescent="0.55000000000000004">
      <c r="A1" s="3">
        <v>1238911001</v>
      </c>
      <c r="B1" s="1" t="s">
        <v>12</v>
      </c>
      <c r="C1" s="6">
        <v>19112</v>
      </c>
      <c r="D1" s="6">
        <v>30963</v>
      </c>
      <c r="E1" s="6">
        <v>36488</v>
      </c>
      <c r="F1" s="1" t="s">
        <v>13</v>
      </c>
      <c r="G1" s="2">
        <v>31200</v>
      </c>
      <c r="H1" s="7">
        <v>3</v>
      </c>
      <c r="I1" s="7">
        <v>3</v>
      </c>
      <c r="J1" s="7">
        <v>2</v>
      </c>
      <c r="K1" s="7">
        <v>1</v>
      </c>
      <c r="L1" s="7">
        <v>1</v>
      </c>
    </row>
    <row r="2" spans="1:12" x14ac:dyDescent="0.55000000000000004">
      <c r="A2" s="3">
        <v>1238911003</v>
      </c>
      <c r="B2" s="1" t="s">
        <v>12</v>
      </c>
      <c r="C2" s="6">
        <v>20527</v>
      </c>
      <c r="D2" s="6">
        <v>33014</v>
      </c>
      <c r="E2" s="6"/>
      <c r="F2" s="1" t="s">
        <v>13</v>
      </c>
      <c r="G2" s="2">
        <v>30602</v>
      </c>
      <c r="H2" s="7">
        <v>2</v>
      </c>
      <c r="I2" s="7">
        <v>3</v>
      </c>
      <c r="J2" s="7">
        <v>1</v>
      </c>
      <c r="K2" s="7">
        <v>1</v>
      </c>
      <c r="L2" s="7">
        <v>2</v>
      </c>
    </row>
    <row r="3" spans="1:12" x14ac:dyDescent="0.55000000000000004">
      <c r="A3" s="3">
        <v>1238911004</v>
      </c>
      <c r="B3" s="1" t="s">
        <v>12</v>
      </c>
      <c r="C3" s="6">
        <v>20864</v>
      </c>
      <c r="D3" s="6">
        <v>36995</v>
      </c>
      <c r="E3" s="6"/>
      <c r="F3" s="1" t="s">
        <v>15</v>
      </c>
      <c r="G3" s="2">
        <v>29120</v>
      </c>
      <c r="H3" s="7">
        <v>2</v>
      </c>
      <c r="I3" s="7">
        <v>3</v>
      </c>
      <c r="J3" s="7">
        <v>2</v>
      </c>
      <c r="K3" s="7">
        <v>3</v>
      </c>
      <c r="L3" s="7">
        <v>1</v>
      </c>
    </row>
    <row r="4" spans="1:12" x14ac:dyDescent="0.55000000000000004">
      <c r="A4" s="3">
        <v>1238911005</v>
      </c>
      <c r="B4" s="1" t="s">
        <v>12</v>
      </c>
      <c r="C4" s="6">
        <v>21034</v>
      </c>
      <c r="D4" s="6">
        <v>36006</v>
      </c>
      <c r="E4" s="6"/>
      <c r="F4" s="1" t="s">
        <v>16</v>
      </c>
      <c r="G4" s="2">
        <v>75000</v>
      </c>
      <c r="H4" s="7">
        <v>1</v>
      </c>
      <c r="I4" s="7">
        <v>2</v>
      </c>
      <c r="J4" s="7">
        <v>1</v>
      </c>
      <c r="K4" s="7">
        <v>1</v>
      </c>
      <c r="L4" s="7">
        <v>2</v>
      </c>
    </row>
    <row r="5" spans="1:12" x14ac:dyDescent="0.55000000000000004">
      <c r="A5" s="3">
        <v>1238911007</v>
      </c>
      <c r="B5" s="1" t="s">
        <v>12</v>
      </c>
      <c r="C5" s="6">
        <v>21223</v>
      </c>
      <c r="D5" s="6">
        <v>37919</v>
      </c>
      <c r="E5" s="6">
        <v>45735</v>
      </c>
      <c r="F5" s="1" t="s">
        <v>18</v>
      </c>
      <c r="G5" s="2">
        <v>27586</v>
      </c>
      <c r="H5" s="7">
        <v>3</v>
      </c>
      <c r="I5" s="7">
        <v>3</v>
      </c>
      <c r="J5" s="7">
        <v>1</v>
      </c>
      <c r="K5" s="7">
        <v>1</v>
      </c>
      <c r="L5" s="7">
        <v>3</v>
      </c>
    </row>
    <row r="6" spans="1:12" x14ac:dyDescent="0.55000000000000004">
      <c r="A6" s="3">
        <v>1238911008</v>
      </c>
      <c r="B6" s="1" t="s">
        <v>12</v>
      </c>
      <c r="C6" s="6">
        <v>21236</v>
      </c>
      <c r="D6" s="6">
        <v>39081</v>
      </c>
      <c r="E6" s="6"/>
      <c r="F6" s="1" t="s">
        <v>19</v>
      </c>
      <c r="G6" s="2">
        <v>67933.774999999994</v>
      </c>
      <c r="H6" s="7">
        <v>3</v>
      </c>
      <c r="I6" s="7">
        <v>1</v>
      </c>
      <c r="J6" s="7">
        <v>2</v>
      </c>
      <c r="K6" s="7">
        <v>1</v>
      </c>
      <c r="L6" s="7">
        <v>3</v>
      </c>
    </row>
    <row r="7" spans="1:12" x14ac:dyDescent="0.55000000000000004">
      <c r="A7" s="3">
        <v>1238911010</v>
      </c>
      <c r="B7" s="1" t="s">
        <v>12</v>
      </c>
      <c r="C7" s="6">
        <v>34729</v>
      </c>
      <c r="D7" s="6">
        <v>42711</v>
      </c>
      <c r="E7" s="6"/>
      <c r="F7" s="1" t="s">
        <v>20</v>
      </c>
      <c r="G7" s="2">
        <v>67860</v>
      </c>
      <c r="H7" s="7">
        <v>3</v>
      </c>
      <c r="I7" s="7">
        <v>2</v>
      </c>
      <c r="J7" s="7">
        <v>3</v>
      </c>
      <c r="K7" s="7">
        <v>2</v>
      </c>
      <c r="L7" s="7">
        <v>2</v>
      </c>
    </row>
    <row r="8" spans="1:12" x14ac:dyDescent="0.55000000000000004">
      <c r="A8" s="3">
        <v>1238911011</v>
      </c>
      <c r="B8" s="1" t="s">
        <v>12</v>
      </c>
      <c r="C8" s="6">
        <v>34051</v>
      </c>
      <c r="D8" s="6">
        <v>42958</v>
      </c>
      <c r="E8" s="6">
        <v>45662</v>
      </c>
      <c r="F8" s="1" t="s">
        <v>15</v>
      </c>
      <c r="G8" s="2">
        <v>30030</v>
      </c>
      <c r="H8" s="7">
        <v>1</v>
      </c>
      <c r="I8" s="7">
        <v>1</v>
      </c>
      <c r="J8" s="7">
        <v>1</v>
      </c>
      <c r="K8" s="7">
        <v>2</v>
      </c>
      <c r="L8" s="7">
        <v>3</v>
      </c>
    </row>
    <row r="9" spans="1:12" x14ac:dyDescent="0.55000000000000004">
      <c r="A9" s="3">
        <v>1238911012</v>
      </c>
      <c r="B9" s="1" t="s">
        <v>12</v>
      </c>
      <c r="C9" s="6">
        <v>21673</v>
      </c>
      <c r="D9" s="6">
        <v>38324</v>
      </c>
      <c r="E9" s="6">
        <v>44487</v>
      </c>
      <c r="F9" s="1" t="s">
        <v>13</v>
      </c>
      <c r="G9" s="2">
        <v>27456</v>
      </c>
      <c r="H9" s="7">
        <v>2</v>
      </c>
      <c r="I9" s="7">
        <v>3</v>
      </c>
      <c r="J9" s="7">
        <v>3</v>
      </c>
      <c r="K9" s="7">
        <v>2</v>
      </c>
      <c r="L9" s="7">
        <v>2</v>
      </c>
    </row>
    <row r="10" spans="1:12" x14ac:dyDescent="0.55000000000000004">
      <c r="A10" s="3">
        <v>1238911013</v>
      </c>
      <c r="B10" s="1" t="s">
        <v>12</v>
      </c>
      <c r="C10" s="6">
        <v>35055</v>
      </c>
      <c r="D10" s="6">
        <v>44296</v>
      </c>
      <c r="E10" s="6"/>
      <c r="F10" s="1" t="s">
        <v>13</v>
      </c>
      <c r="G10" s="2">
        <v>32864</v>
      </c>
      <c r="H10" s="7">
        <v>3</v>
      </c>
      <c r="I10" s="7">
        <v>2</v>
      </c>
      <c r="J10" s="7">
        <v>3</v>
      </c>
      <c r="K10" s="7">
        <v>3</v>
      </c>
      <c r="L10" s="7">
        <v>1</v>
      </c>
    </row>
    <row r="11" spans="1:12" x14ac:dyDescent="0.55000000000000004">
      <c r="A11" s="3">
        <v>1238911014</v>
      </c>
      <c r="B11" s="1" t="s">
        <v>12</v>
      </c>
      <c r="C11" s="6">
        <v>21784</v>
      </c>
      <c r="D11" s="6">
        <v>36400</v>
      </c>
      <c r="E11" s="6"/>
      <c r="F11" s="1" t="s">
        <v>13</v>
      </c>
      <c r="G11" s="2">
        <v>32864</v>
      </c>
      <c r="H11" s="7">
        <v>3</v>
      </c>
      <c r="I11" s="7">
        <v>2</v>
      </c>
      <c r="J11" s="7">
        <v>3</v>
      </c>
      <c r="K11" s="7">
        <v>3</v>
      </c>
      <c r="L11" s="7">
        <v>3</v>
      </c>
    </row>
    <row r="12" spans="1:12" x14ac:dyDescent="0.55000000000000004">
      <c r="A12" s="3">
        <v>1238911017</v>
      </c>
      <c r="B12" s="1" t="s">
        <v>12</v>
      </c>
      <c r="C12" s="6">
        <v>21825</v>
      </c>
      <c r="D12" s="6">
        <v>33014</v>
      </c>
      <c r="E12" s="6">
        <v>45619</v>
      </c>
      <c r="F12" s="1" t="s">
        <v>13</v>
      </c>
      <c r="G12" s="2">
        <v>26520</v>
      </c>
      <c r="H12" s="7">
        <v>2</v>
      </c>
      <c r="I12" s="7">
        <v>1</v>
      </c>
      <c r="J12" s="7">
        <v>3</v>
      </c>
      <c r="K12" s="7">
        <v>3</v>
      </c>
      <c r="L12" s="7">
        <v>1</v>
      </c>
    </row>
    <row r="13" spans="1:12" x14ac:dyDescent="0.55000000000000004">
      <c r="A13" s="3">
        <v>1238911020</v>
      </c>
      <c r="B13" s="1" t="s">
        <v>12</v>
      </c>
      <c r="C13" s="6">
        <v>21948</v>
      </c>
      <c r="D13" s="6">
        <v>38721</v>
      </c>
      <c r="E13" s="6"/>
      <c r="F13" s="1" t="s">
        <v>24</v>
      </c>
      <c r="G13" s="2">
        <v>107723.2</v>
      </c>
      <c r="H13" s="7">
        <v>2</v>
      </c>
      <c r="I13" s="7">
        <v>3</v>
      </c>
      <c r="J13" s="7">
        <v>3</v>
      </c>
      <c r="K13" s="7">
        <v>2</v>
      </c>
      <c r="L13" s="7">
        <v>3</v>
      </c>
    </row>
    <row r="14" spans="1:12" x14ac:dyDescent="0.55000000000000004">
      <c r="A14" s="3">
        <v>1238911021</v>
      </c>
      <c r="B14" s="1" t="s">
        <v>12</v>
      </c>
      <c r="C14" s="6">
        <v>21958</v>
      </c>
      <c r="D14" s="6">
        <v>36183</v>
      </c>
      <c r="E14" s="6">
        <v>43695</v>
      </c>
      <c r="F14" s="1" t="s">
        <v>13</v>
      </c>
      <c r="G14" s="2">
        <v>27571.25</v>
      </c>
      <c r="H14" s="7">
        <v>2</v>
      </c>
      <c r="I14" s="7">
        <v>2</v>
      </c>
      <c r="J14" s="7">
        <v>1</v>
      </c>
      <c r="K14" s="7">
        <v>1</v>
      </c>
      <c r="L14" s="7">
        <v>3</v>
      </c>
    </row>
    <row r="15" spans="1:12" x14ac:dyDescent="0.55000000000000004">
      <c r="A15" s="3">
        <v>1238911022</v>
      </c>
      <c r="B15" s="1" t="s">
        <v>12</v>
      </c>
      <c r="C15" s="6">
        <v>28244</v>
      </c>
      <c r="D15" s="6">
        <v>39815</v>
      </c>
      <c r="E15" s="6"/>
      <c r="F15" s="1" t="s">
        <v>13</v>
      </c>
      <c r="G15" s="2">
        <v>27571.25</v>
      </c>
      <c r="H15" s="7">
        <v>1</v>
      </c>
      <c r="I15" s="7">
        <v>2</v>
      </c>
      <c r="J15" s="7">
        <v>1</v>
      </c>
      <c r="K15" s="7">
        <v>1</v>
      </c>
      <c r="L15" s="7">
        <v>3</v>
      </c>
    </row>
    <row r="16" spans="1:12" x14ac:dyDescent="0.55000000000000004">
      <c r="A16" s="3">
        <v>1238911023</v>
      </c>
      <c r="B16" s="1" t="s">
        <v>12</v>
      </c>
      <c r="C16" s="6">
        <v>32709</v>
      </c>
      <c r="D16" s="6">
        <v>44571</v>
      </c>
      <c r="E16" s="6"/>
      <c r="F16" s="1" t="s">
        <v>13</v>
      </c>
      <c r="G16" s="2">
        <v>30784</v>
      </c>
      <c r="H16" s="7">
        <v>3</v>
      </c>
      <c r="I16" s="7">
        <v>3</v>
      </c>
      <c r="J16" s="7">
        <v>3</v>
      </c>
      <c r="K16" s="7">
        <v>2</v>
      </c>
      <c r="L16" s="7">
        <v>3</v>
      </c>
    </row>
    <row r="17" spans="1:12" x14ac:dyDescent="0.55000000000000004">
      <c r="A17" s="3">
        <v>1238911024</v>
      </c>
      <c r="B17" s="1" t="s">
        <v>12</v>
      </c>
      <c r="C17" s="6">
        <v>22118</v>
      </c>
      <c r="D17" s="6">
        <v>37105</v>
      </c>
      <c r="E17" s="6"/>
      <c r="F17" s="1" t="s">
        <v>13</v>
      </c>
      <c r="G17" s="2">
        <v>27300</v>
      </c>
      <c r="H17" s="7">
        <v>3</v>
      </c>
      <c r="I17" s="7">
        <v>2</v>
      </c>
      <c r="J17" s="7">
        <v>2</v>
      </c>
      <c r="K17" s="7">
        <v>2</v>
      </c>
      <c r="L17" s="7">
        <v>2</v>
      </c>
    </row>
    <row r="18" spans="1:12" x14ac:dyDescent="0.55000000000000004">
      <c r="A18" s="3">
        <v>1238911025</v>
      </c>
      <c r="B18" s="1" t="s">
        <v>12</v>
      </c>
      <c r="C18" s="6">
        <v>22138</v>
      </c>
      <c r="D18" s="6">
        <v>36423</v>
      </c>
      <c r="E18" s="6"/>
      <c r="F18" s="1" t="s">
        <v>19</v>
      </c>
      <c r="G18" s="2">
        <v>65000</v>
      </c>
      <c r="H18" s="7">
        <v>2</v>
      </c>
      <c r="I18" s="7">
        <v>1</v>
      </c>
      <c r="J18" s="7">
        <v>2</v>
      </c>
      <c r="K18" s="7">
        <v>3</v>
      </c>
      <c r="L18" s="7">
        <v>3</v>
      </c>
    </row>
    <row r="19" spans="1:12" x14ac:dyDescent="0.55000000000000004">
      <c r="A19" s="3">
        <v>1238911026</v>
      </c>
      <c r="B19" s="1" t="s">
        <v>12</v>
      </c>
      <c r="C19" s="6">
        <v>22180</v>
      </c>
      <c r="D19" s="6">
        <v>37729</v>
      </c>
      <c r="E19" s="6"/>
      <c r="F19" s="1" t="s">
        <v>25</v>
      </c>
      <c r="G19" s="2">
        <v>28596.975000000002</v>
      </c>
      <c r="H19" s="7">
        <v>1</v>
      </c>
      <c r="I19" s="7">
        <v>1</v>
      </c>
      <c r="J19" s="7">
        <v>3</v>
      </c>
      <c r="K19" s="7">
        <v>1</v>
      </c>
      <c r="L19" s="7">
        <v>1</v>
      </c>
    </row>
    <row r="20" spans="1:12" x14ac:dyDescent="0.55000000000000004">
      <c r="A20" s="3">
        <v>1238911027</v>
      </c>
      <c r="B20" s="1" t="s">
        <v>12</v>
      </c>
      <c r="C20" s="6">
        <v>22190</v>
      </c>
      <c r="D20" s="6">
        <v>40172</v>
      </c>
      <c r="E20" s="6"/>
      <c r="F20" s="1" t="s">
        <v>26</v>
      </c>
      <c r="G20" s="2">
        <v>101936.25</v>
      </c>
      <c r="H20" s="7">
        <v>2</v>
      </c>
      <c r="I20" s="7">
        <v>2</v>
      </c>
      <c r="J20" s="7">
        <v>2</v>
      </c>
      <c r="K20" s="7">
        <v>2</v>
      </c>
      <c r="L20" s="7">
        <v>2</v>
      </c>
    </row>
    <row r="21" spans="1:12" x14ac:dyDescent="0.55000000000000004">
      <c r="A21" s="3">
        <v>1238911028</v>
      </c>
      <c r="B21" s="1" t="s">
        <v>12</v>
      </c>
      <c r="C21" s="6">
        <v>22293</v>
      </c>
      <c r="D21" s="6">
        <v>36294</v>
      </c>
      <c r="E21" s="6"/>
      <c r="F21" s="1" t="s">
        <v>27</v>
      </c>
      <c r="G21" s="2">
        <v>93062.5</v>
      </c>
      <c r="H21" s="7">
        <v>1</v>
      </c>
      <c r="I21" s="7">
        <v>3</v>
      </c>
      <c r="J21" s="7">
        <v>3</v>
      </c>
      <c r="K21" s="7">
        <v>1</v>
      </c>
      <c r="L21" s="7">
        <v>1</v>
      </c>
    </row>
    <row r="22" spans="1:12" x14ac:dyDescent="0.55000000000000004">
      <c r="A22" s="3">
        <v>1238911031</v>
      </c>
      <c r="B22" s="1" t="s">
        <v>12</v>
      </c>
      <c r="C22" s="6">
        <v>22323</v>
      </c>
      <c r="D22" s="6">
        <v>36353</v>
      </c>
      <c r="E22" s="6"/>
      <c r="F22" s="1" t="s">
        <v>28</v>
      </c>
      <c r="G22" s="2">
        <v>82875</v>
      </c>
      <c r="H22" s="7">
        <v>1</v>
      </c>
      <c r="I22" s="7">
        <v>1</v>
      </c>
      <c r="J22" s="7">
        <v>2</v>
      </c>
      <c r="K22" s="7">
        <v>3</v>
      </c>
      <c r="L22" s="7">
        <v>1</v>
      </c>
    </row>
    <row r="23" spans="1:12" x14ac:dyDescent="0.55000000000000004">
      <c r="A23" s="3">
        <v>1238911034</v>
      </c>
      <c r="B23" s="1" t="s">
        <v>12</v>
      </c>
      <c r="C23" s="6">
        <v>22414</v>
      </c>
      <c r="D23" s="6">
        <v>37476</v>
      </c>
      <c r="E23" s="6"/>
      <c r="F23" s="1" t="s">
        <v>25</v>
      </c>
      <c r="G23" s="2">
        <v>28808</v>
      </c>
      <c r="H23" s="7">
        <v>2</v>
      </c>
      <c r="I23" s="7">
        <v>1</v>
      </c>
      <c r="J23" s="7">
        <v>2</v>
      </c>
      <c r="K23" s="7">
        <v>1</v>
      </c>
      <c r="L23" s="7">
        <v>2</v>
      </c>
    </row>
    <row r="24" spans="1:12" x14ac:dyDescent="0.55000000000000004">
      <c r="A24" s="3">
        <v>1238911035</v>
      </c>
      <c r="B24" s="1" t="s">
        <v>12</v>
      </c>
      <c r="C24" s="6">
        <v>22454</v>
      </c>
      <c r="D24" s="6">
        <v>39338</v>
      </c>
      <c r="E24" s="6"/>
      <c r="F24" s="1" t="s">
        <v>19</v>
      </c>
      <c r="G24" s="2">
        <v>60797.1</v>
      </c>
      <c r="H24" s="7">
        <v>2</v>
      </c>
      <c r="I24" s="7">
        <v>3</v>
      </c>
      <c r="J24" s="7">
        <v>3</v>
      </c>
      <c r="K24" s="7">
        <v>2</v>
      </c>
      <c r="L24" s="7">
        <v>3</v>
      </c>
    </row>
    <row r="25" spans="1:12" x14ac:dyDescent="0.55000000000000004">
      <c r="A25" s="3">
        <v>1238911038</v>
      </c>
      <c r="B25" s="1" t="s">
        <v>12</v>
      </c>
      <c r="C25" s="6">
        <v>24539</v>
      </c>
      <c r="D25" s="6">
        <v>36294</v>
      </c>
      <c r="E25" s="6"/>
      <c r="F25" s="1" t="s">
        <v>13</v>
      </c>
      <c r="G25" s="2">
        <v>28782</v>
      </c>
      <c r="H25" s="7">
        <v>2</v>
      </c>
      <c r="I25" s="7">
        <v>3</v>
      </c>
      <c r="J25" s="7">
        <v>3</v>
      </c>
      <c r="K25" s="7">
        <v>2</v>
      </c>
      <c r="L25" s="7">
        <v>2</v>
      </c>
    </row>
    <row r="26" spans="1:12" x14ac:dyDescent="0.55000000000000004">
      <c r="A26" s="3">
        <v>1238911039</v>
      </c>
      <c r="B26" s="1" t="s">
        <v>12</v>
      </c>
      <c r="C26" s="6">
        <v>22507</v>
      </c>
      <c r="D26" s="6">
        <v>37779</v>
      </c>
      <c r="E26" s="6"/>
      <c r="F26" s="1" t="s">
        <v>25</v>
      </c>
      <c r="G26" s="2">
        <v>30446</v>
      </c>
      <c r="H26" s="7">
        <v>2</v>
      </c>
      <c r="I26" s="7">
        <v>3</v>
      </c>
      <c r="J26" s="7">
        <v>2</v>
      </c>
      <c r="K26" s="7">
        <v>1</v>
      </c>
      <c r="L26" s="7">
        <v>1</v>
      </c>
    </row>
    <row r="27" spans="1:12" x14ac:dyDescent="0.55000000000000004">
      <c r="A27" s="3">
        <v>1238911043</v>
      </c>
      <c r="B27" s="1" t="s">
        <v>12</v>
      </c>
      <c r="C27" s="6">
        <v>22534</v>
      </c>
      <c r="D27" s="6">
        <v>33014</v>
      </c>
      <c r="E27" s="6">
        <v>41666</v>
      </c>
      <c r="F27" s="1" t="s">
        <v>31</v>
      </c>
      <c r="G27" s="2">
        <v>30238</v>
      </c>
      <c r="H27" s="7">
        <v>1</v>
      </c>
      <c r="I27" s="7">
        <v>2</v>
      </c>
      <c r="J27" s="7">
        <v>2</v>
      </c>
      <c r="K27" s="7">
        <v>1</v>
      </c>
      <c r="L27" s="7">
        <v>3</v>
      </c>
    </row>
    <row r="28" spans="1:12" x14ac:dyDescent="0.55000000000000004">
      <c r="A28" s="3">
        <v>1238911044</v>
      </c>
      <c r="B28" s="1" t="s">
        <v>12</v>
      </c>
      <c r="C28" s="6">
        <v>22709</v>
      </c>
      <c r="D28" s="6">
        <v>36498</v>
      </c>
      <c r="E28" s="6"/>
      <c r="F28" s="1" t="s">
        <v>13</v>
      </c>
      <c r="G28" s="2">
        <v>28106</v>
      </c>
      <c r="H28" s="7">
        <v>1</v>
      </c>
      <c r="I28" s="7">
        <v>1</v>
      </c>
      <c r="J28" s="7">
        <v>3</v>
      </c>
      <c r="K28" s="7">
        <v>3</v>
      </c>
      <c r="L28" s="7">
        <v>3</v>
      </c>
    </row>
    <row r="29" spans="1:12" x14ac:dyDescent="0.55000000000000004">
      <c r="A29" s="3">
        <v>1238911045</v>
      </c>
      <c r="B29" s="1" t="s">
        <v>12</v>
      </c>
      <c r="C29" s="6">
        <v>22798</v>
      </c>
      <c r="D29" s="6">
        <v>36400</v>
      </c>
      <c r="E29" s="6"/>
      <c r="F29" s="1" t="s">
        <v>13</v>
      </c>
      <c r="G29" s="2">
        <v>29510</v>
      </c>
      <c r="H29" s="7">
        <v>1</v>
      </c>
      <c r="I29" s="7">
        <v>2</v>
      </c>
      <c r="J29" s="7">
        <v>2</v>
      </c>
      <c r="K29" s="7">
        <v>3</v>
      </c>
      <c r="L29" s="7">
        <v>2</v>
      </c>
    </row>
    <row r="30" spans="1:12" x14ac:dyDescent="0.55000000000000004">
      <c r="A30" s="3">
        <v>1238911046</v>
      </c>
      <c r="B30" s="1" t="s">
        <v>12</v>
      </c>
      <c r="C30" s="6">
        <v>22718</v>
      </c>
      <c r="D30" s="6">
        <v>38976</v>
      </c>
      <c r="E30" s="6"/>
      <c r="F30" s="1" t="s">
        <v>13</v>
      </c>
      <c r="G30" s="2">
        <v>30524</v>
      </c>
      <c r="H30" s="7">
        <v>3</v>
      </c>
      <c r="I30" s="7">
        <v>1</v>
      </c>
      <c r="J30" s="7">
        <v>3</v>
      </c>
      <c r="K30" s="7">
        <v>2</v>
      </c>
      <c r="L30" s="7">
        <v>3</v>
      </c>
    </row>
    <row r="31" spans="1:12" x14ac:dyDescent="0.55000000000000004">
      <c r="A31" s="3">
        <v>1238911054</v>
      </c>
      <c r="B31" s="1" t="s">
        <v>12</v>
      </c>
      <c r="C31" s="6">
        <v>23077</v>
      </c>
      <c r="D31" s="6">
        <v>37105</v>
      </c>
      <c r="E31" s="6"/>
      <c r="F31" s="1" t="s">
        <v>13</v>
      </c>
      <c r="G31" s="2">
        <v>30446</v>
      </c>
      <c r="H31" s="7">
        <v>3</v>
      </c>
      <c r="I31" s="7">
        <v>3</v>
      </c>
      <c r="J31" s="7">
        <v>3</v>
      </c>
      <c r="K31" s="7">
        <v>2</v>
      </c>
      <c r="L31" s="7">
        <v>3</v>
      </c>
    </row>
    <row r="32" spans="1:12" x14ac:dyDescent="0.55000000000000004">
      <c r="A32" s="3">
        <v>1238911055</v>
      </c>
      <c r="B32" s="1" t="s">
        <v>12</v>
      </c>
      <c r="C32" s="6">
        <v>22465</v>
      </c>
      <c r="D32" s="6">
        <v>33014</v>
      </c>
      <c r="E32" s="6">
        <v>42422</v>
      </c>
      <c r="F32" s="1" t="s">
        <v>13</v>
      </c>
      <c r="G32" s="2">
        <v>30446</v>
      </c>
      <c r="H32" s="7">
        <v>1</v>
      </c>
      <c r="I32" s="7">
        <v>3</v>
      </c>
      <c r="J32" s="7">
        <v>2</v>
      </c>
      <c r="K32" s="7">
        <v>2</v>
      </c>
      <c r="L32" s="7">
        <v>1</v>
      </c>
    </row>
    <row r="33" spans="1:12" x14ac:dyDescent="0.55000000000000004">
      <c r="A33" s="3">
        <v>1238911056</v>
      </c>
      <c r="B33" s="1" t="s">
        <v>12</v>
      </c>
      <c r="C33" s="6">
        <v>23089</v>
      </c>
      <c r="D33" s="6">
        <v>44459</v>
      </c>
      <c r="E33" s="6">
        <v>45478</v>
      </c>
      <c r="F33" s="1" t="s">
        <v>13</v>
      </c>
      <c r="G33" s="2">
        <v>31616</v>
      </c>
      <c r="H33" s="7">
        <v>3</v>
      </c>
      <c r="I33" s="7">
        <v>2</v>
      </c>
      <c r="J33" s="7">
        <v>3</v>
      </c>
      <c r="K33" s="7">
        <v>2</v>
      </c>
      <c r="L33" s="7">
        <v>3</v>
      </c>
    </row>
    <row r="34" spans="1:12" x14ac:dyDescent="0.55000000000000004">
      <c r="A34" s="3">
        <v>1238911059</v>
      </c>
      <c r="B34" s="1" t="s">
        <v>12</v>
      </c>
      <c r="C34" s="6">
        <v>23210</v>
      </c>
      <c r="D34" s="6">
        <v>35783</v>
      </c>
      <c r="E34" s="6"/>
      <c r="F34" s="1" t="s">
        <v>35</v>
      </c>
      <c r="G34" s="2">
        <v>152059.69999999998</v>
      </c>
      <c r="H34" s="7">
        <v>2</v>
      </c>
      <c r="I34" s="7">
        <v>2</v>
      </c>
      <c r="J34" s="7">
        <v>3</v>
      </c>
      <c r="K34" s="7">
        <v>2</v>
      </c>
      <c r="L34" s="7">
        <v>2</v>
      </c>
    </row>
    <row r="35" spans="1:12" x14ac:dyDescent="0.55000000000000004">
      <c r="A35" s="3">
        <v>1238911060</v>
      </c>
      <c r="B35" s="1" t="s">
        <v>12</v>
      </c>
      <c r="C35" s="6">
        <v>24871</v>
      </c>
      <c r="D35" s="6">
        <v>36353</v>
      </c>
      <c r="E35" s="6">
        <v>43604</v>
      </c>
      <c r="F35" s="1" t="s">
        <v>36</v>
      </c>
      <c r="G35" s="2">
        <v>75337.274999999994</v>
      </c>
      <c r="H35" s="7">
        <v>3</v>
      </c>
      <c r="I35" s="7">
        <v>1</v>
      </c>
      <c r="J35" s="7">
        <v>2</v>
      </c>
      <c r="K35" s="7">
        <v>1</v>
      </c>
      <c r="L35" s="7">
        <v>3</v>
      </c>
    </row>
    <row r="36" spans="1:12" x14ac:dyDescent="0.55000000000000004">
      <c r="A36" s="3">
        <v>1238911061</v>
      </c>
      <c r="B36" s="1" t="s">
        <v>12</v>
      </c>
      <c r="C36" s="6">
        <v>23215</v>
      </c>
      <c r="D36" s="6">
        <v>40386</v>
      </c>
      <c r="E36" s="6"/>
      <c r="F36" s="1" t="s">
        <v>36</v>
      </c>
      <c r="G36" s="2">
        <v>75337.274999999994</v>
      </c>
      <c r="H36" s="7">
        <v>1</v>
      </c>
      <c r="I36" s="7">
        <v>1</v>
      </c>
      <c r="J36" s="7">
        <v>3</v>
      </c>
      <c r="K36" s="7">
        <v>1</v>
      </c>
      <c r="L36" s="7">
        <v>1</v>
      </c>
    </row>
    <row r="37" spans="1:12" x14ac:dyDescent="0.55000000000000004">
      <c r="A37" s="3">
        <v>1238911066</v>
      </c>
      <c r="B37" s="1" t="s">
        <v>12</v>
      </c>
      <c r="C37" s="6">
        <v>25209</v>
      </c>
      <c r="D37" s="6">
        <v>42462</v>
      </c>
      <c r="E37" s="6">
        <v>43743</v>
      </c>
      <c r="F37" s="1" t="s">
        <v>13</v>
      </c>
      <c r="G37" s="2">
        <v>27404</v>
      </c>
      <c r="H37" s="7">
        <v>1</v>
      </c>
      <c r="I37" s="7">
        <v>2</v>
      </c>
      <c r="J37" s="7">
        <v>2</v>
      </c>
      <c r="K37" s="7">
        <v>2</v>
      </c>
      <c r="L37" s="7">
        <v>1</v>
      </c>
    </row>
    <row r="38" spans="1:12" x14ac:dyDescent="0.55000000000000004">
      <c r="A38" s="3">
        <v>1238911069</v>
      </c>
      <c r="B38" s="1" t="s">
        <v>12</v>
      </c>
      <c r="C38" s="6">
        <v>23563</v>
      </c>
      <c r="D38" s="6">
        <v>43464</v>
      </c>
      <c r="E38" s="6">
        <v>44662</v>
      </c>
      <c r="F38" s="1" t="s">
        <v>13</v>
      </c>
      <c r="G38" s="2">
        <v>28340</v>
      </c>
      <c r="H38" s="7">
        <v>3</v>
      </c>
      <c r="I38" s="7">
        <v>1</v>
      </c>
      <c r="J38" s="7">
        <v>3</v>
      </c>
      <c r="K38" s="7">
        <v>1</v>
      </c>
      <c r="L38" s="7">
        <v>2</v>
      </c>
    </row>
    <row r="39" spans="1:12" x14ac:dyDescent="0.55000000000000004">
      <c r="A39" s="3">
        <v>1238911070</v>
      </c>
      <c r="B39" s="1" t="s">
        <v>12</v>
      </c>
      <c r="C39" s="6">
        <v>23598</v>
      </c>
      <c r="D39" s="6">
        <v>39668</v>
      </c>
      <c r="E39" s="6"/>
      <c r="F39" s="1" t="s">
        <v>13</v>
      </c>
      <c r="G39" s="2">
        <v>29198</v>
      </c>
      <c r="H39" s="7">
        <v>2</v>
      </c>
      <c r="I39" s="7">
        <v>1</v>
      </c>
      <c r="J39" s="7">
        <v>3</v>
      </c>
      <c r="K39" s="7">
        <v>1</v>
      </c>
      <c r="L39" s="7">
        <v>3</v>
      </c>
    </row>
    <row r="40" spans="1:12" x14ac:dyDescent="0.55000000000000004">
      <c r="A40" s="3">
        <v>1238911074</v>
      </c>
      <c r="B40" s="1" t="s">
        <v>12</v>
      </c>
      <c r="C40" s="6">
        <v>23659</v>
      </c>
      <c r="D40" s="6">
        <v>36400</v>
      </c>
      <c r="E40" s="6"/>
      <c r="F40" s="1" t="s">
        <v>13</v>
      </c>
      <c r="G40" s="2">
        <v>27300</v>
      </c>
      <c r="H40" s="7">
        <v>1</v>
      </c>
      <c r="I40" s="7">
        <v>2</v>
      </c>
      <c r="J40" s="7">
        <v>1</v>
      </c>
      <c r="K40" s="7">
        <v>2</v>
      </c>
      <c r="L40" s="7">
        <v>2</v>
      </c>
    </row>
    <row r="41" spans="1:12" x14ac:dyDescent="0.55000000000000004">
      <c r="A41" s="3">
        <v>1238911075</v>
      </c>
      <c r="B41" s="1" t="s">
        <v>12</v>
      </c>
      <c r="C41" s="6">
        <v>23715</v>
      </c>
      <c r="D41" s="6">
        <v>39846</v>
      </c>
      <c r="E41" s="6"/>
      <c r="F41" s="1" t="s">
        <v>38</v>
      </c>
      <c r="G41" s="2">
        <v>425199.77500000002</v>
      </c>
      <c r="H41" s="7">
        <v>3</v>
      </c>
      <c r="I41" s="7">
        <v>2</v>
      </c>
      <c r="J41" s="7">
        <v>3</v>
      </c>
      <c r="K41" s="7">
        <v>3</v>
      </c>
      <c r="L41" s="7">
        <v>3</v>
      </c>
    </row>
    <row r="42" spans="1:12" x14ac:dyDescent="0.55000000000000004">
      <c r="A42" s="3">
        <v>1238911079</v>
      </c>
      <c r="B42" s="1" t="s">
        <v>12</v>
      </c>
      <c r="C42" s="6">
        <v>23930</v>
      </c>
      <c r="D42" s="6">
        <v>43840</v>
      </c>
      <c r="E42" s="6">
        <v>45169</v>
      </c>
      <c r="F42" s="1" t="s">
        <v>13</v>
      </c>
      <c r="G42" s="2">
        <v>27300</v>
      </c>
      <c r="H42" s="7">
        <v>3</v>
      </c>
      <c r="I42" s="7">
        <v>3</v>
      </c>
      <c r="J42" s="7">
        <v>3</v>
      </c>
      <c r="K42" s="7">
        <v>3</v>
      </c>
      <c r="L42" s="7">
        <v>1</v>
      </c>
    </row>
    <row r="43" spans="1:12" x14ac:dyDescent="0.55000000000000004">
      <c r="A43" s="3">
        <v>1238911081</v>
      </c>
      <c r="B43" s="1" t="s">
        <v>12</v>
      </c>
      <c r="C43" s="6">
        <v>23832</v>
      </c>
      <c r="D43" s="6">
        <v>36423</v>
      </c>
      <c r="E43" s="6"/>
      <c r="F43" s="1" t="s">
        <v>23</v>
      </c>
      <c r="G43" s="2">
        <v>59097.675000000003</v>
      </c>
      <c r="H43" s="7">
        <v>2</v>
      </c>
      <c r="I43" s="7">
        <v>2</v>
      </c>
      <c r="J43" s="7">
        <v>1</v>
      </c>
      <c r="K43" s="7">
        <v>2</v>
      </c>
      <c r="L43" s="7">
        <v>1</v>
      </c>
    </row>
    <row r="44" spans="1:12" x14ac:dyDescent="0.55000000000000004">
      <c r="A44" s="3">
        <v>1238911082</v>
      </c>
      <c r="B44" s="1" t="s">
        <v>12</v>
      </c>
      <c r="C44" s="6">
        <v>23953</v>
      </c>
      <c r="D44" s="6">
        <v>37729</v>
      </c>
      <c r="E44" s="6"/>
      <c r="F44" s="1" t="s">
        <v>13</v>
      </c>
      <c r="G44" s="2">
        <v>31616</v>
      </c>
      <c r="H44" s="7">
        <v>3</v>
      </c>
      <c r="I44" s="7">
        <v>2</v>
      </c>
      <c r="J44" s="7">
        <v>3</v>
      </c>
      <c r="K44" s="7">
        <v>2</v>
      </c>
      <c r="L44" s="7">
        <v>2</v>
      </c>
    </row>
    <row r="45" spans="1:12" x14ac:dyDescent="0.55000000000000004">
      <c r="A45" s="3">
        <v>1238911084</v>
      </c>
      <c r="B45" s="1" t="s">
        <v>12</v>
      </c>
      <c r="C45" s="6">
        <v>24044</v>
      </c>
      <c r="D45" s="6">
        <v>38120</v>
      </c>
      <c r="E45" s="6"/>
      <c r="F45" s="1" t="s">
        <v>39</v>
      </c>
      <c r="G45" s="2">
        <v>281250</v>
      </c>
      <c r="H45" s="7">
        <v>3</v>
      </c>
      <c r="I45" s="7">
        <v>2</v>
      </c>
      <c r="J45" s="7">
        <v>2</v>
      </c>
      <c r="K45" s="7">
        <v>3</v>
      </c>
      <c r="L45" s="7">
        <v>3</v>
      </c>
    </row>
    <row r="46" spans="1:12" x14ac:dyDescent="0.55000000000000004">
      <c r="A46" s="3">
        <v>1238911086</v>
      </c>
      <c r="B46" s="1" t="s">
        <v>12</v>
      </c>
      <c r="C46" s="6">
        <v>24072</v>
      </c>
      <c r="D46" s="6">
        <v>36353</v>
      </c>
      <c r="E46" s="6"/>
      <c r="F46" s="1" t="s">
        <v>13</v>
      </c>
      <c r="G46" s="2">
        <v>28366</v>
      </c>
      <c r="H46" s="7">
        <v>3</v>
      </c>
      <c r="I46" s="7">
        <v>2</v>
      </c>
      <c r="J46" s="7">
        <v>3</v>
      </c>
      <c r="K46" s="7">
        <v>1</v>
      </c>
      <c r="L46" s="7">
        <v>2</v>
      </c>
    </row>
    <row r="47" spans="1:12" x14ac:dyDescent="0.55000000000000004">
      <c r="A47" s="3">
        <v>1238911089</v>
      </c>
      <c r="B47" s="1" t="s">
        <v>12</v>
      </c>
      <c r="C47" s="6">
        <v>24441</v>
      </c>
      <c r="D47" s="6">
        <v>39338</v>
      </c>
      <c r="E47" s="6"/>
      <c r="F47" s="1" t="s">
        <v>40</v>
      </c>
      <c r="G47" s="2">
        <v>39810</v>
      </c>
      <c r="H47" s="7">
        <v>2</v>
      </c>
      <c r="I47" s="7">
        <v>3</v>
      </c>
      <c r="J47" s="7">
        <v>1</v>
      </c>
      <c r="K47" s="7">
        <v>1</v>
      </c>
      <c r="L47" s="7">
        <v>3</v>
      </c>
    </row>
    <row r="48" spans="1:12" x14ac:dyDescent="0.55000000000000004">
      <c r="A48" s="3">
        <v>1238911092</v>
      </c>
      <c r="B48" s="1" t="s">
        <v>12</v>
      </c>
      <c r="C48" s="6">
        <v>24460</v>
      </c>
      <c r="D48" s="6">
        <v>44289</v>
      </c>
      <c r="E48" s="6">
        <v>45467</v>
      </c>
      <c r="F48" s="1" t="s">
        <v>13</v>
      </c>
      <c r="G48" s="2">
        <v>31460</v>
      </c>
      <c r="H48" s="7">
        <v>3</v>
      </c>
      <c r="I48" s="7">
        <v>3</v>
      </c>
      <c r="J48" s="7">
        <v>3</v>
      </c>
      <c r="K48" s="7">
        <v>1</v>
      </c>
      <c r="L48" s="7">
        <v>1</v>
      </c>
    </row>
    <row r="49" spans="1:12" x14ac:dyDescent="0.55000000000000004">
      <c r="A49" s="3">
        <v>1238911093</v>
      </c>
      <c r="B49" s="1" t="s">
        <v>12</v>
      </c>
      <c r="C49" s="6">
        <v>24186</v>
      </c>
      <c r="D49" s="6">
        <v>37779</v>
      </c>
      <c r="E49" s="6"/>
      <c r="F49" s="1" t="s">
        <v>42</v>
      </c>
      <c r="G49" s="2">
        <v>87884.5</v>
      </c>
      <c r="H49" s="7">
        <v>2</v>
      </c>
      <c r="I49" s="7">
        <v>2</v>
      </c>
      <c r="J49" s="7">
        <v>2</v>
      </c>
      <c r="K49" s="7">
        <v>2</v>
      </c>
      <c r="L49" s="7">
        <v>2</v>
      </c>
    </row>
    <row r="50" spans="1:12" x14ac:dyDescent="0.55000000000000004">
      <c r="A50" s="3">
        <v>1238911094</v>
      </c>
      <c r="B50" s="1" t="s">
        <v>12</v>
      </c>
      <c r="C50" s="6">
        <v>24196</v>
      </c>
      <c r="D50" s="6">
        <v>38284</v>
      </c>
      <c r="E50" s="6"/>
      <c r="F50" s="1" t="s">
        <v>43</v>
      </c>
      <c r="G50" s="2">
        <v>28392</v>
      </c>
      <c r="H50" s="7">
        <v>3</v>
      </c>
      <c r="I50" s="7">
        <v>1</v>
      </c>
      <c r="J50" s="7">
        <v>3</v>
      </c>
      <c r="K50" s="7">
        <v>3</v>
      </c>
      <c r="L50" s="7">
        <v>1</v>
      </c>
    </row>
    <row r="51" spans="1:12" x14ac:dyDescent="0.55000000000000004">
      <c r="A51" s="3">
        <v>1238911095</v>
      </c>
      <c r="B51" s="1" t="s">
        <v>12</v>
      </c>
      <c r="C51" s="6">
        <v>34858</v>
      </c>
      <c r="D51" s="6">
        <v>43829</v>
      </c>
      <c r="E51" s="6"/>
      <c r="F51" s="1" t="s">
        <v>43</v>
      </c>
      <c r="G51" s="2">
        <v>28392</v>
      </c>
      <c r="H51" s="7">
        <v>2</v>
      </c>
      <c r="I51" s="7">
        <v>3</v>
      </c>
      <c r="J51" s="7">
        <v>1</v>
      </c>
      <c r="K51" s="7">
        <v>3</v>
      </c>
      <c r="L51" s="7">
        <v>1</v>
      </c>
    </row>
    <row r="52" spans="1:12" x14ac:dyDescent="0.55000000000000004">
      <c r="A52" s="3">
        <v>1238911096</v>
      </c>
      <c r="B52" s="1" t="s">
        <v>12</v>
      </c>
      <c r="C52" s="6">
        <v>24214</v>
      </c>
      <c r="D52" s="6">
        <v>39668</v>
      </c>
      <c r="E52" s="6"/>
      <c r="F52" s="1" t="s">
        <v>44</v>
      </c>
      <c r="G52" s="2">
        <v>30053.75</v>
      </c>
      <c r="H52" s="7">
        <v>1</v>
      </c>
      <c r="I52" s="7">
        <v>1</v>
      </c>
      <c r="J52" s="7">
        <v>2</v>
      </c>
      <c r="K52" s="7">
        <v>1</v>
      </c>
      <c r="L52" s="7">
        <v>2</v>
      </c>
    </row>
    <row r="53" spans="1:12" x14ac:dyDescent="0.55000000000000004">
      <c r="A53" s="3">
        <v>1238911098</v>
      </c>
      <c r="B53" s="1" t="s">
        <v>12</v>
      </c>
      <c r="C53" s="6">
        <v>24226</v>
      </c>
      <c r="D53" s="6">
        <v>36498</v>
      </c>
      <c r="E53" s="6"/>
      <c r="F53" s="1" t="s">
        <v>45</v>
      </c>
      <c r="G53" s="2">
        <v>58318</v>
      </c>
      <c r="H53" s="7">
        <v>1</v>
      </c>
      <c r="I53" s="7">
        <v>2</v>
      </c>
      <c r="J53" s="7">
        <v>2</v>
      </c>
      <c r="K53" s="7">
        <v>1</v>
      </c>
      <c r="L53" s="7">
        <v>1</v>
      </c>
    </row>
    <row r="54" spans="1:12" x14ac:dyDescent="0.55000000000000004">
      <c r="A54" s="3">
        <v>1238911099</v>
      </c>
      <c r="B54" s="1" t="s">
        <v>12</v>
      </c>
      <c r="C54" s="6">
        <v>24421</v>
      </c>
      <c r="D54" s="6">
        <v>36400</v>
      </c>
      <c r="E54" s="6"/>
      <c r="F54" s="1" t="s">
        <v>13</v>
      </c>
      <c r="G54" s="2">
        <v>35516</v>
      </c>
      <c r="H54" s="7">
        <v>3</v>
      </c>
      <c r="I54" s="7">
        <v>3</v>
      </c>
      <c r="J54" s="7">
        <v>3</v>
      </c>
      <c r="K54" s="7">
        <v>1</v>
      </c>
      <c r="L54" s="7">
        <v>2</v>
      </c>
    </row>
    <row r="55" spans="1:12" x14ac:dyDescent="0.55000000000000004">
      <c r="A55" s="3">
        <v>1238911102</v>
      </c>
      <c r="B55" s="1" t="s">
        <v>12</v>
      </c>
      <c r="C55" s="6">
        <v>24284</v>
      </c>
      <c r="D55" s="6">
        <v>37904</v>
      </c>
      <c r="E55" s="6"/>
      <c r="F55" s="1" t="s">
        <v>26</v>
      </c>
      <c r="G55" s="2">
        <v>95625.074999999997</v>
      </c>
      <c r="H55" s="7">
        <v>3</v>
      </c>
      <c r="I55" s="7">
        <v>1</v>
      </c>
      <c r="J55" s="7">
        <v>3</v>
      </c>
      <c r="K55" s="7">
        <v>3</v>
      </c>
      <c r="L55" s="7">
        <v>2</v>
      </c>
    </row>
    <row r="56" spans="1:12" x14ac:dyDescent="0.55000000000000004">
      <c r="A56" s="3">
        <v>1238911105</v>
      </c>
      <c r="B56" s="1" t="s">
        <v>12</v>
      </c>
      <c r="C56" s="6">
        <v>24301</v>
      </c>
      <c r="D56" s="6">
        <v>38721</v>
      </c>
      <c r="E56" s="6"/>
      <c r="F56" s="1" t="s">
        <v>47</v>
      </c>
      <c r="G56" s="2">
        <v>38077.5</v>
      </c>
      <c r="H56" s="7">
        <v>3</v>
      </c>
      <c r="I56" s="7">
        <v>3</v>
      </c>
      <c r="J56" s="7">
        <v>1</v>
      </c>
      <c r="K56" s="7">
        <v>3</v>
      </c>
      <c r="L56" s="7">
        <v>1</v>
      </c>
    </row>
    <row r="57" spans="1:12" x14ac:dyDescent="0.55000000000000004">
      <c r="A57" s="3">
        <v>1238911106</v>
      </c>
      <c r="B57" s="1" t="s">
        <v>12</v>
      </c>
      <c r="C57" s="6">
        <v>23162</v>
      </c>
      <c r="D57" s="6">
        <v>36294</v>
      </c>
      <c r="E57" s="6">
        <v>44797</v>
      </c>
      <c r="F57" s="1" t="s">
        <v>47</v>
      </c>
      <c r="G57" s="2">
        <v>38077.5</v>
      </c>
      <c r="H57" s="7">
        <v>1</v>
      </c>
      <c r="I57" s="7">
        <v>2</v>
      </c>
      <c r="J57" s="7">
        <v>1</v>
      </c>
      <c r="K57" s="7">
        <v>2</v>
      </c>
      <c r="L57" s="7">
        <v>3</v>
      </c>
    </row>
    <row r="58" spans="1:12" x14ac:dyDescent="0.55000000000000004">
      <c r="A58" s="3">
        <v>1238911107</v>
      </c>
      <c r="B58" s="1" t="s">
        <v>12</v>
      </c>
      <c r="C58" s="6">
        <v>24322</v>
      </c>
      <c r="D58" s="6">
        <v>38009</v>
      </c>
      <c r="E58" s="6"/>
      <c r="F58" s="1" t="s">
        <v>48</v>
      </c>
      <c r="G58" s="2">
        <v>61872.5</v>
      </c>
      <c r="H58" s="7">
        <v>2</v>
      </c>
      <c r="I58" s="7">
        <v>3</v>
      </c>
      <c r="J58" s="7">
        <v>1</v>
      </c>
      <c r="K58" s="7">
        <v>1</v>
      </c>
      <c r="L58" s="7">
        <v>3</v>
      </c>
    </row>
    <row r="59" spans="1:12" x14ac:dyDescent="0.55000000000000004">
      <c r="A59" s="3">
        <v>1238911108</v>
      </c>
      <c r="B59" s="1" t="s">
        <v>12</v>
      </c>
      <c r="C59" s="6">
        <v>24337</v>
      </c>
      <c r="D59" s="6">
        <v>36535</v>
      </c>
      <c r="E59" s="6"/>
      <c r="F59" s="1" t="s">
        <v>13</v>
      </c>
      <c r="G59" s="2">
        <v>31564</v>
      </c>
      <c r="H59" s="7">
        <v>3</v>
      </c>
      <c r="I59" s="7">
        <v>3</v>
      </c>
      <c r="J59" s="7">
        <v>2</v>
      </c>
      <c r="K59" s="7">
        <v>1</v>
      </c>
      <c r="L59" s="7">
        <v>1</v>
      </c>
    </row>
    <row r="60" spans="1:12" x14ac:dyDescent="0.55000000000000004">
      <c r="A60" s="3">
        <v>1238911110</v>
      </c>
      <c r="B60" s="1" t="s">
        <v>12</v>
      </c>
      <c r="C60" s="6">
        <v>24490</v>
      </c>
      <c r="D60" s="6">
        <v>36423</v>
      </c>
      <c r="E60" s="6"/>
      <c r="F60" s="1" t="s">
        <v>13</v>
      </c>
      <c r="G60" s="2">
        <v>30654</v>
      </c>
      <c r="H60" s="7">
        <v>1</v>
      </c>
      <c r="I60" s="7">
        <v>3</v>
      </c>
      <c r="J60" s="7">
        <v>1</v>
      </c>
      <c r="K60" s="7">
        <v>3</v>
      </c>
      <c r="L60" s="7">
        <v>2</v>
      </c>
    </row>
    <row r="61" spans="1:12" x14ac:dyDescent="0.55000000000000004">
      <c r="A61" s="3">
        <v>1238911111</v>
      </c>
      <c r="B61" s="1" t="s">
        <v>12</v>
      </c>
      <c r="C61" s="6">
        <v>24511</v>
      </c>
      <c r="D61" s="6">
        <v>37729</v>
      </c>
      <c r="E61" s="6"/>
      <c r="F61" s="1" t="s">
        <v>25</v>
      </c>
      <c r="G61" s="2">
        <v>27664</v>
      </c>
      <c r="H61" s="7">
        <v>2</v>
      </c>
      <c r="I61" s="7">
        <v>1</v>
      </c>
      <c r="J61" s="7">
        <v>3</v>
      </c>
      <c r="K61" s="7">
        <v>2</v>
      </c>
      <c r="L61" s="7">
        <v>3</v>
      </c>
    </row>
    <row r="62" spans="1:12" x14ac:dyDescent="0.55000000000000004">
      <c r="A62" s="3">
        <v>1238911112</v>
      </c>
      <c r="B62" s="1" t="s">
        <v>12</v>
      </c>
      <c r="C62" s="6">
        <v>24611</v>
      </c>
      <c r="D62" s="6">
        <v>40172</v>
      </c>
      <c r="E62" s="6"/>
      <c r="F62" s="1" t="s">
        <v>49</v>
      </c>
      <c r="G62" s="2">
        <v>31200</v>
      </c>
      <c r="H62" s="7">
        <v>2</v>
      </c>
      <c r="I62" s="7">
        <v>3</v>
      </c>
      <c r="J62" s="7">
        <v>3</v>
      </c>
      <c r="K62" s="7">
        <v>2</v>
      </c>
      <c r="L62" s="7">
        <v>2</v>
      </c>
    </row>
    <row r="63" spans="1:12" x14ac:dyDescent="0.55000000000000004">
      <c r="A63" s="3">
        <v>1238911117</v>
      </c>
      <c r="B63" s="1" t="s">
        <v>12</v>
      </c>
      <c r="C63" s="6">
        <v>24671</v>
      </c>
      <c r="D63" s="6">
        <v>37476</v>
      </c>
      <c r="E63" s="6"/>
      <c r="F63" s="1" t="s">
        <v>52</v>
      </c>
      <c r="G63" s="2">
        <v>136630</v>
      </c>
      <c r="H63" s="7">
        <v>3</v>
      </c>
      <c r="I63" s="7">
        <v>2</v>
      </c>
      <c r="J63" s="7">
        <v>2</v>
      </c>
      <c r="K63" s="7">
        <v>3</v>
      </c>
      <c r="L63" s="7">
        <v>3</v>
      </c>
    </row>
    <row r="64" spans="1:12" x14ac:dyDescent="0.55000000000000004">
      <c r="A64" s="3">
        <v>1238911120</v>
      </c>
      <c r="B64" s="1" t="s">
        <v>12</v>
      </c>
      <c r="C64" s="6">
        <v>24732</v>
      </c>
      <c r="D64" s="6">
        <v>39788</v>
      </c>
      <c r="E64" s="6"/>
      <c r="F64" s="1" t="s">
        <v>13</v>
      </c>
      <c r="G64" s="2">
        <v>29822</v>
      </c>
      <c r="H64" s="7">
        <v>3</v>
      </c>
      <c r="I64" s="7">
        <v>2</v>
      </c>
      <c r="J64" s="7">
        <v>3</v>
      </c>
      <c r="K64" s="7">
        <v>3</v>
      </c>
      <c r="L64" s="7">
        <v>1</v>
      </c>
    </row>
    <row r="65" spans="1:12" x14ac:dyDescent="0.55000000000000004">
      <c r="A65" s="3">
        <v>1238911121</v>
      </c>
      <c r="B65" s="1" t="s">
        <v>12</v>
      </c>
      <c r="C65" s="6">
        <v>24739</v>
      </c>
      <c r="D65" s="6">
        <v>39906</v>
      </c>
      <c r="E65" s="6">
        <v>44965</v>
      </c>
      <c r="F65" s="1" t="s">
        <v>49</v>
      </c>
      <c r="G65" s="2">
        <v>28862.5</v>
      </c>
      <c r="H65" s="7">
        <v>2</v>
      </c>
      <c r="I65" s="7">
        <v>3</v>
      </c>
      <c r="J65" s="7">
        <v>1</v>
      </c>
      <c r="K65" s="7">
        <v>1</v>
      </c>
      <c r="L65" s="7">
        <v>3</v>
      </c>
    </row>
    <row r="66" spans="1:12" x14ac:dyDescent="0.55000000000000004">
      <c r="A66" s="3">
        <v>1238911122</v>
      </c>
      <c r="B66" s="1" t="s">
        <v>12</v>
      </c>
      <c r="C66" s="6">
        <v>24778</v>
      </c>
      <c r="D66" s="6">
        <v>37779</v>
      </c>
      <c r="E66" s="6"/>
      <c r="F66" s="1" t="s">
        <v>54</v>
      </c>
      <c r="G66" s="2">
        <v>137500</v>
      </c>
      <c r="H66" s="7">
        <v>3</v>
      </c>
      <c r="I66" s="7">
        <v>3</v>
      </c>
      <c r="J66" s="7">
        <v>2</v>
      </c>
      <c r="K66" s="7">
        <v>3</v>
      </c>
      <c r="L66" s="7">
        <v>2</v>
      </c>
    </row>
    <row r="67" spans="1:12" x14ac:dyDescent="0.55000000000000004">
      <c r="A67" s="3">
        <v>1238911126</v>
      </c>
      <c r="B67" s="1" t="s">
        <v>12</v>
      </c>
      <c r="C67" s="6">
        <v>24927</v>
      </c>
      <c r="D67" s="6">
        <v>37114</v>
      </c>
      <c r="E67" s="6"/>
      <c r="F67" s="1" t="s">
        <v>55</v>
      </c>
      <c r="G67" s="2">
        <v>78693.75</v>
      </c>
      <c r="H67" s="7">
        <v>3</v>
      </c>
      <c r="I67" s="7">
        <v>2</v>
      </c>
      <c r="J67" s="7">
        <v>2</v>
      </c>
      <c r="K67" s="7">
        <v>2</v>
      </c>
      <c r="L67" s="7">
        <v>2</v>
      </c>
    </row>
    <row r="68" spans="1:12" x14ac:dyDescent="0.55000000000000004">
      <c r="A68" s="3">
        <v>1238911128</v>
      </c>
      <c r="B68" s="1" t="s">
        <v>12</v>
      </c>
      <c r="C68" s="6">
        <v>25018</v>
      </c>
      <c r="D68" s="6">
        <v>36400</v>
      </c>
      <c r="E68" s="6"/>
      <c r="F68" s="1" t="s">
        <v>57</v>
      </c>
      <c r="G68" s="2">
        <v>92738.75</v>
      </c>
      <c r="H68" s="7">
        <v>1</v>
      </c>
      <c r="I68" s="7">
        <v>1</v>
      </c>
      <c r="J68" s="7">
        <v>3</v>
      </c>
      <c r="K68" s="7">
        <v>3</v>
      </c>
      <c r="L68" s="7">
        <v>1</v>
      </c>
    </row>
    <row r="69" spans="1:12" x14ac:dyDescent="0.55000000000000004">
      <c r="A69" s="3">
        <v>1238911135</v>
      </c>
      <c r="B69" s="1" t="s">
        <v>12</v>
      </c>
      <c r="C69" s="6">
        <v>25322</v>
      </c>
      <c r="D69" s="6">
        <v>43840</v>
      </c>
      <c r="E69" s="6">
        <v>44888</v>
      </c>
      <c r="F69" s="1" t="s">
        <v>59</v>
      </c>
      <c r="G69" s="2">
        <v>58445</v>
      </c>
      <c r="H69" s="7">
        <v>2</v>
      </c>
      <c r="I69" s="7">
        <v>1</v>
      </c>
      <c r="J69" s="7">
        <v>3</v>
      </c>
      <c r="K69" s="7">
        <v>1</v>
      </c>
      <c r="L69" s="7">
        <v>1</v>
      </c>
    </row>
    <row r="70" spans="1:12" x14ac:dyDescent="0.55000000000000004">
      <c r="A70" s="3">
        <v>1238911136</v>
      </c>
      <c r="B70" s="1" t="s">
        <v>12</v>
      </c>
      <c r="C70" s="6">
        <v>25487</v>
      </c>
      <c r="D70" s="6">
        <v>37105</v>
      </c>
      <c r="E70" s="6"/>
      <c r="F70" s="1" t="s">
        <v>59</v>
      </c>
      <c r="G70" s="2">
        <v>58445</v>
      </c>
      <c r="H70" s="7">
        <v>2</v>
      </c>
      <c r="I70" s="7">
        <v>3</v>
      </c>
      <c r="J70" s="7">
        <v>1</v>
      </c>
      <c r="K70" s="7">
        <v>3</v>
      </c>
      <c r="L70" s="7">
        <v>3</v>
      </c>
    </row>
    <row r="71" spans="1:12" x14ac:dyDescent="0.55000000000000004">
      <c r="A71" s="3">
        <v>1238911137</v>
      </c>
      <c r="B71" s="1" t="s">
        <v>12</v>
      </c>
      <c r="C71" s="6">
        <v>25326</v>
      </c>
      <c r="D71" s="6">
        <v>36423</v>
      </c>
      <c r="E71" s="6"/>
      <c r="F71" s="1" t="s">
        <v>13</v>
      </c>
      <c r="G71" s="2">
        <v>31200</v>
      </c>
      <c r="H71" s="7">
        <v>3</v>
      </c>
      <c r="I71" s="7">
        <v>1</v>
      </c>
      <c r="J71" s="7">
        <v>2</v>
      </c>
      <c r="K71" s="7">
        <v>1</v>
      </c>
      <c r="L71" s="7">
        <v>2</v>
      </c>
    </row>
    <row r="72" spans="1:12" x14ac:dyDescent="0.55000000000000004">
      <c r="A72" s="3">
        <v>1238911138</v>
      </c>
      <c r="B72" s="1" t="s">
        <v>12</v>
      </c>
      <c r="C72" s="6">
        <v>25349</v>
      </c>
      <c r="D72" s="6">
        <v>37729</v>
      </c>
      <c r="E72" s="6"/>
      <c r="F72" s="1" t="s">
        <v>13</v>
      </c>
      <c r="G72" s="2">
        <v>27300</v>
      </c>
      <c r="H72" s="7">
        <v>2</v>
      </c>
      <c r="I72" s="7">
        <v>2</v>
      </c>
      <c r="J72" s="7">
        <v>1</v>
      </c>
      <c r="K72" s="7">
        <v>3</v>
      </c>
      <c r="L72" s="7">
        <v>2</v>
      </c>
    </row>
    <row r="73" spans="1:12" x14ac:dyDescent="0.55000000000000004">
      <c r="A73" s="3">
        <v>1238911140</v>
      </c>
      <c r="B73" s="1" t="s">
        <v>12</v>
      </c>
      <c r="C73" s="6">
        <v>25247</v>
      </c>
      <c r="D73" s="6">
        <v>36294</v>
      </c>
      <c r="E73" s="6"/>
      <c r="F73" s="1" t="s">
        <v>60</v>
      </c>
      <c r="G73" s="2">
        <v>126250.15</v>
      </c>
      <c r="H73" s="7">
        <v>3</v>
      </c>
      <c r="I73" s="7">
        <v>3</v>
      </c>
      <c r="J73" s="7">
        <v>2</v>
      </c>
      <c r="K73" s="7">
        <v>3</v>
      </c>
      <c r="L73" s="7">
        <v>2</v>
      </c>
    </row>
    <row r="74" spans="1:12" x14ac:dyDescent="0.55000000000000004">
      <c r="A74" s="3">
        <v>1238911141</v>
      </c>
      <c r="B74" s="1" t="s">
        <v>12</v>
      </c>
      <c r="C74" s="6">
        <v>25382</v>
      </c>
      <c r="D74" s="6">
        <v>35783</v>
      </c>
      <c r="E74" s="6"/>
      <c r="F74" s="1" t="s">
        <v>45</v>
      </c>
      <c r="G74" s="2">
        <v>55224</v>
      </c>
      <c r="H74" s="7">
        <v>3</v>
      </c>
      <c r="I74" s="7">
        <v>1</v>
      </c>
      <c r="J74" s="7">
        <v>3</v>
      </c>
      <c r="K74" s="7">
        <v>2</v>
      </c>
      <c r="L74" s="7">
        <v>3</v>
      </c>
    </row>
    <row r="75" spans="1:12" x14ac:dyDescent="0.55000000000000004">
      <c r="A75" s="3">
        <v>1238911143</v>
      </c>
      <c r="B75" s="1" t="s">
        <v>12</v>
      </c>
      <c r="C75" s="6">
        <v>25415</v>
      </c>
      <c r="D75" s="6">
        <v>40386</v>
      </c>
      <c r="E75" s="6"/>
      <c r="F75" s="1" t="s">
        <v>13</v>
      </c>
      <c r="G75" s="2">
        <v>27404</v>
      </c>
      <c r="H75" s="7">
        <v>1</v>
      </c>
      <c r="I75" s="7">
        <v>2</v>
      </c>
      <c r="J75" s="7">
        <v>1</v>
      </c>
      <c r="K75" s="7">
        <v>1</v>
      </c>
      <c r="L75" s="7">
        <v>3</v>
      </c>
    </row>
    <row r="76" spans="1:12" x14ac:dyDescent="0.55000000000000004">
      <c r="A76" s="3">
        <v>1238911144</v>
      </c>
      <c r="B76" s="1" t="s">
        <v>12</v>
      </c>
      <c r="C76" s="6">
        <v>25459</v>
      </c>
      <c r="D76" s="6">
        <v>37476</v>
      </c>
      <c r="E76" s="6"/>
      <c r="F76" s="1" t="s">
        <v>43</v>
      </c>
      <c r="G76" s="2">
        <v>31200</v>
      </c>
      <c r="H76" s="7">
        <v>1</v>
      </c>
      <c r="I76" s="7">
        <v>1</v>
      </c>
      <c r="J76" s="7">
        <v>1</v>
      </c>
      <c r="K76" s="7">
        <v>1</v>
      </c>
      <c r="L76" s="7">
        <v>2</v>
      </c>
    </row>
    <row r="77" spans="1:12" x14ac:dyDescent="0.55000000000000004">
      <c r="A77" s="3">
        <v>1238911145</v>
      </c>
      <c r="B77" s="1" t="s">
        <v>12</v>
      </c>
      <c r="C77" s="6">
        <v>25468</v>
      </c>
      <c r="D77" s="6">
        <v>39338</v>
      </c>
      <c r="E77" s="6"/>
      <c r="F77" s="1" t="s">
        <v>60</v>
      </c>
      <c r="G77" s="2">
        <v>111084.34999999999</v>
      </c>
      <c r="H77" s="7">
        <v>3</v>
      </c>
      <c r="I77" s="7">
        <v>3</v>
      </c>
      <c r="J77" s="7">
        <v>2</v>
      </c>
      <c r="K77" s="7">
        <v>2</v>
      </c>
      <c r="L77" s="7">
        <v>2</v>
      </c>
    </row>
    <row r="78" spans="1:12" x14ac:dyDescent="0.55000000000000004">
      <c r="A78" s="3">
        <v>1238911151</v>
      </c>
      <c r="B78" s="1" t="s">
        <v>12</v>
      </c>
      <c r="C78" s="6">
        <v>25700</v>
      </c>
      <c r="D78" s="6">
        <v>39081</v>
      </c>
      <c r="E78" s="6"/>
      <c r="F78" s="1" t="s">
        <v>62</v>
      </c>
      <c r="G78" s="2">
        <v>32668.75</v>
      </c>
      <c r="H78" s="7">
        <v>1</v>
      </c>
      <c r="I78" s="7">
        <v>1</v>
      </c>
      <c r="J78" s="7">
        <v>1</v>
      </c>
      <c r="K78" s="7">
        <v>2</v>
      </c>
      <c r="L78" s="7">
        <v>1</v>
      </c>
    </row>
    <row r="79" spans="1:12" x14ac:dyDescent="0.55000000000000004">
      <c r="A79" s="3">
        <v>1238911153</v>
      </c>
      <c r="B79" s="1" t="s">
        <v>12</v>
      </c>
      <c r="C79" s="6">
        <v>29034</v>
      </c>
      <c r="D79" s="6">
        <v>45514</v>
      </c>
      <c r="E79" s="6">
        <v>45710</v>
      </c>
      <c r="F79" s="1" t="s">
        <v>63</v>
      </c>
      <c r="G79" s="2">
        <v>95839.25</v>
      </c>
      <c r="H79" s="7">
        <v>3</v>
      </c>
      <c r="I79" s="7">
        <v>3</v>
      </c>
      <c r="J79" s="7">
        <v>3</v>
      </c>
      <c r="K79" s="7">
        <v>2</v>
      </c>
      <c r="L79" s="7">
        <v>3</v>
      </c>
    </row>
    <row r="80" spans="1:12" x14ac:dyDescent="0.55000000000000004">
      <c r="A80" s="3">
        <v>1238911156</v>
      </c>
      <c r="B80" s="1" t="s">
        <v>12</v>
      </c>
      <c r="C80" s="6">
        <v>25811</v>
      </c>
      <c r="D80" s="6">
        <v>38976</v>
      </c>
      <c r="E80" s="6"/>
      <c r="F80" s="1" t="s">
        <v>13</v>
      </c>
      <c r="G80" s="2">
        <v>27300</v>
      </c>
      <c r="H80" s="7">
        <v>2</v>
      </c>
      <c r="I80" s="7">
        <v>1</v>
      </c>
      <c r="J80" s="7">
        <v>2</v>
      </c>
      <c r="K80" s="7">
        <v>3</v>
      </c>
      <c r="L80" s="7">
        <v>1</v>
      </c>
    </row>
    <row r="81" spans="1:12" x14ac:dyDescent="0.55000000000000004">
      <c r="A81" s="3">
        <v>1238911158</v>
      </c>
      <c r="B81" s="1" t="s">
        <v>12</v>
      </c>
      <c r="C81" s="6">
        <v>25839</v>
      </c>
      <c r="D81" s="6">
        <v>37904</v>
      </c>
      <c r="E81" s="6"/>
      <c r="F81" s="1" t="s">
        <v>66</v>
      </c>
      <c r="G81" s="2">
        <v>117412.425</v>
      </c>
      <c r="H81" s="7">
        <v>2</v>
      </c>
      <c r="I81" s="7">
        <v>2</v>
      </c>
      <c r="J81" s="7">
        <v>2</v>
      </c>
      <c r="K81" s="7">
        <v>3</v>
      </c>
      <c r="L81" s="7">
        <v>2</v>
      </c>
    </row>
    <row r="82" spans="1:12" x14ac:dyDescent="0.55000000000000004">
      <c r="A82" s="3">
        <v>1238911159</v>
      </c>
      <c r="B82" s="1" t="s">
        <v>12</v>
      </c>
      <c r="C82" s="6">
        <v>25875</v>
      </c>
      <c r="D82" s="6">
        <v>40019</v>
      </c>
      <c r="E82" s="6"/>
      <c r="F82" s="1" t="s">
        <v>13</v>
      </c>
      <c r="G82" s="2">
        <v>31200</v>
      </c>
      <c r="H82" s="7">
        <v>3</v>
      </c>
      <c r="I82" s="7">
        <v>3</v>
      </c>
      <c r="J82" s="7">
        <v>3</v>
      </c>
      <c r="K82" s="7">
        <v>2</v>
      </c>
      <c r="L82" s="7">
        <v>1</v>
      </c>
    </row>
    <row r="83" spans="1:12" x14ac:dyDescent="0.55000000000000004">
      <c r="A83" s="3">
        <v>1238911160</v>
      </c>
      <c r="B83" s="1" t="s">
        <v>12</v>
      </c>
      <c r="C83" s="6">
        <v>25915</v>
      </c>
      <c r="D83" s="6">
        <v>41643</v>
      </c>
      <c r="E83" s="6">
        <v>44431</v>
      </c>
      <c r="F83" s="1" t="s">
        <v>67</v>
      </c>
      <c r="G83" s="2">
        <v>93253.75</v>
      </c>
      <c r="H83" s="7">
        <v>2</v>
      </c>
      <c r="I83" s="7">
        <v>1</v>
      </c>
      <c r="J83" s="7">
        <v>2</v>
      </c>
      <c r="K83" s="7">
        <v>3</v>
      </c>
      <c r="L83" s="7">
        <v>2</v>
      </c>
    </row>
    <row r="84" spans="1:12" x14ac:dyDescent="0.55000000000000004">
      <c r="A84" s="3">
        <v>1238911163</v>
      </c>
      <c r="B84" s="1" t="s">
        <v>12</v>
      </c>
      <c r="C84" s="6">
        <v>26031</v>
      </c>
      <c r="D84" s="6">
        <v>37105</v>
      </c>
      <c r="E84" s="6"/>
      <c r="F84" s="1" t="s">
        <v>68</v>
      </c>
      <c r="G84" s="2">
        <v>62500</v>
      </c>
      <c r="H84" s="7">
        <v>1</v>
      </c>
      <c r="I84" s="7">
        <v>2</v>
      </c>
      <c r="J84" s="7">
        <v>3</v>
      </c>
      <c r="K84" s="7">
        <v>3</v>
      </c>
      <c r="L84" s="7">
        <v>1</v>
      </c>
    </row>
    <row r="85" spans="1:12" x14ac:dyDescent="0.55000000000000004">
      <c r="A85" s="3">
        <v>1238911164</v>
      </c>
      <c r="B85" s="1" t="s">
        <v>12</v>
      </c>
      <c r="C85" s="6">
        <v>26063</v>
      </c>
      <c r="D85" s="6">
        <v>36423</v>
      </c>
      <c r="E85" s="6"/>
      <c r="F85" s="1" t="s">
        <v>69</v>
      </c>
      <c r="G85" s="2">
        <v>167968.77499999999</v>
      </c>
      <c r="H85" s="7">
        <v>2</v>
      </c>
      <c r="I85" s="7">
        <v>2</v>
      </c>
      <c r="J85" s="7">
        <v>3</v>
      </c>
      <c r="K85" s="7">
        <v>3</v>
      </c>
      <c r="L85" s="7">
        <v>2</v>
      </c>
    </row>
    <row r="86" spans="1:12" x14ac:dyDescent="0.55000000000000004">
      <c r="A86" s="3">
        <v>1238911165</v>
      </c>
      <c r="B86" s="1" t="s">
        <v>12</v>
      </c>
      <c r="C86" s="6">
        <v>26131</v>
      </c>
      <c r="D86" s="6">
        <v>37729</v>
      </c>
      <c r="E86" s="6"/>
      <c r="F86" s="1" t="s">
        <v>19</v>
      </c>
      <c r="G86" s="2">
        <v>63787.75</v>
      </c>
      <c r="H86" s="7">
        <v>2</v>
      </c>
      <c r="I86" s="7">
        <v>1</v>
      </c>
      <c r="J86" s="7">
        <v>2</v>
      </c>
      <c r="K86" s="7">
        <v>2</v>
      </c>
      <c r="L86" s="7">
        <v>2</v>
      </c>
    </row>
    <row r="87" spans="1:12" x14ac:dyDescent="0.55000000000000004">
      <c r="A87" s="3">
        <v>1238911166</v>
      </c>
      <c r="B87" s="1" t="s">
        <v>12</v>
      </c>
      <c r="C87" s="6">
        <v>26144</v>
      </c>
      <c r="D87" s="6">
        <v>40172</v>
      </c>
      <c r="E87" s="6"/>
      <c r="F87" s="1" t="s">
        <v>19</v>
      </c>
      <c r="G87" s="2">
        <v>63787.75</v>
      </c>
      <c r="H87" s="7">
        <v>3</v>
      </c>
      <c r="I87" s="7">
        <v>1</v>
      </c>
      <c r="J87" s="7">
        <v>3</v>
      </c>
      <c r="K87" s="7">
        <v>2</v>
      </c>
      <c r="L87" s="7">
        <v>3</v>
      </c>
    </row>
    <row r="88" spans="1:12" x14ac:dyDescent="0.55000000000000004">
      <c r="A88" s="3">
        <v>1238911168</v>
      </c>
      <c r="B88" s="1" t="s">
        <v>12</v>
      </c>
      <c r="C88" s="6">
        <v>26363</v>
      </c>
      <c r="D88" s="6">
        <v>35783</v>
      </c>
      <c r="E88" s="6"/>
      <c r="F88" s="1" t="s">
        <v>23</v>
      </c>
      <c r="G88" s="2">
        <v>68750</v>
      </c>
      <c r="H88" s="7">
        <v>2</v>
      </c>
      <c r="I88" s="7">
        <v>1</v>
      </c>
      <c r="J88" s="7">
        <v>1</v>
      </c>
      <c r="K88" s="7">
        <v>1</v>
      </c>
      <c r="L88" s="7">
        <v>3</v>
      </c>
    </row>
    <row r="89" spans="1:12" x14ac:dyDescent="0.55000000000000004">
      <c r="A89" s="3">
        <v>1238911170</v>
      </c>
      <c r="B89" s="1" t="s">
        <v>12</v>
      </c>
      <c r="C89" s="6">
        <v>26383</v>
      </c>
      <c r="D89" s="6">
        <v>40386</v>
      </c>
      <c r="E89" s="6"/>
      <c r="F89" s="1" t="s">
        <v>70</v>
      </c>
      <c r="G89" s="2">
        <v>111101.25</v>
      </c>
      <c r="H89" s="7">
        <v>3</v>
      </c>
      <c r="I89" s="7">
        <v>2</v>
      </c>
      <c r="J89" s="7">
        <v>3</v>
      </c>
      <c r="K89" s="7">
        <v>3</v>
      </c>
      <c r="L89" s="7">
        <v>2</v>
      </c>
    </row>
    <row r="90" spans="1:12" x14ac:dyDescent="0.55000000000000004">
      <c r="A90" s="3">
        <v>1238911171</v>
      </c>
      <c r="B90" s="1" t="s">
        <v>12</v>
      </c>
      <c r="C90" s="6">
        <v>26424</v>
      </c>
      <c r="D90" s="6">
        <v>37476</v>
      </c>
      <c r="E90" s="6"/>
      <c r="F90" s="1" t="s">
        <v>71</v>
      </c>
      <c r="G90" s="2">
        <v>113705.7</v>
      </c>
      <c r="H90" s="7">
        <v>3</v>
      </c>
      <c r="I90" s="7">
        <v>2</v>
      </c>
      <c r="J90" s="7">
        <v>2</v>
      </c>
      <c r="K90" s="7">
        <v>2</v>
      </c>
      <c r="L90" s="7">
        <v>3</v>
      </c>
    </row>
    <row r="91" spans="1:12" x14ac:dyDescent="0.55000000000000004">
      <c r="A91" s="3">
        <v>1238911172</v>
      </c>
      <c r="B91" s="1" t="s">
        <v>12</v>
      </c>
      <c r="C91" s="6">
        <v>26450</v>
      </c>
      <c r="D91" s="6">
        <v>39338</v>
      </c>
      <c r="E91" s="6"/>
      <c r="F91" s="1" t="s">
        <v>72</v>
      </c>
      <c r="G91" s="2">
        <v>71150.625</v>
      </c>
      <c r="H91" s="7">
        <v>2</v>
      </c>
      <c r="I91" s="7">
        <v>2</v>
      </c>
      <c r="J91" s="7">
        <v>2</v>
      </c>
      <c r="K91" s="7">
        <v>2</v>
      </c>
      <c r="L91" s="7">
        <v>2</v>
      </c>
    </row>
    <row r="92" spans="1:12" x14ac:dyDescent="0.55000000000000004">
      <c r="A92" s="3">
        <v>1238911173</v>
      </c>
      <c r="B92" s="1" t="s">
        <v>12</v>
      </c>
      <c r="C92" s="6">
        <v>26584</v>
      </c>
      <c r="D92" s="6">
        <v>40471</v>
      </c>
      <c r="E92" s="6"/>
      <c r="F92" s="1" t="s">
        <v>44</v>
      </c>
      <c r="G92" s="2">
        <v>41638.75</v>
      </c>
      <c r="H92" s="7">
        <v>3</v>
      </c>
      <c r="I92" s="7">
        <v>2</v>
      </c>
      <c r="J92" s="7">
        <v>1</v>
      </c>
      <c r="K92" s="7">
        <v>2</v>
      </c>
      <c r="L92" s="7">
        <v>3</v>
      </c>
    </row>
    <row r="93" spans="1:12" x14ac:dyDescent="0.55000000000000004">
      <c r="A93" s="3">
        <v>1238911174</v>
      </c>
      <c r="B93" s="1" t="s">
        <v>12</v>
      </c>
      <c r="C93" s="6">
        <v>26409</v>
      </c>
      <c r="D93" s="6">
        <v>39788</v>
      </c>
      <c r="E93" s="6"/>
      <c r="F93" s="1" t="s">
        <v>44</v>
      </c>
      <c r="G93" s="2">
        <v>41638.75</v>
      </c>
      <c r="H93" s="7">
        <v>3</v>
      </c>
      <c r="I93" s="7">
        <v>2</v>
      </c>
      <c r="J93" s="7">
        <v>2</v>
      </c>
      <c r="K93" s="7">
        <v>1</v>
      </c>
      <c r="L93" s="7">
        <v>3</v>
      </c>
    </row>
    <row r="94" spans="1:12" x14ac:dyDescent="0.55000000000000004">
      <c r="A94" s="3">
        <v>1238911177</v>
      </c>
      <c r="B94" s="1" t="s">
        <v>12</v>
      </c>
      <c r="C94" s="6">
        <v>26504</v>
      </c>
      <c r="D94" s="6">
        <v>35993</v>
      </c>
      <c r="E94" s="6"/>
      <c r="F94" s="1" t="s">
        <v>73</v>
      </c>
      <c r="G94" s="2">
        <v>54642.25</v>
      </c>
      <c r="H94" s="7">
        <v>1</v>
      </c>
      <c r="I94" s="7">
        <v>1</v>
      </c>
      <c r="J94" s="7">
        <v>1</v>
      </c>
      <c r="K94" s="7">
        <v>3</v>
      </c>
      <c r="L94" s="7">
        <v>2</v>
      </c>
    </row>
    <row r="95" spans="1:12" x14ac:dyDescent="0.55000000000000004">
      <c r="A95" s="3">
        <v>1238911179</v>
      </c>
      <c r="B95" s="1" t="s">
        <v>12</v>
      </c>
      <c r="C95" s="6">
        <v>26551</v>
      </c>
      <c r="D95" s="6">
        <v>37854</v>
      </c>
      <c r="E95" s="6"/>
      <c r="F95" s="1" t="s">
        <v>43</v>
      </c>
      <c r="G95" s="2">
        <v>33020</v>
      </c>
      <c r="H95" s="7">
        <v>2</v>
      </c>
      <c r="I95" s="7">
        <v>3</v>
      </c>
      <c r="J95" s="7">
        <v>1</v>
      </c>
      <c r="K95" s="7">
        <v>2</v>
      </c>
      <c r="L95" s="7">
        <v>3</v>
      </c>
    </row>
    <row r="96" spans="1:12" x14ac:dyDescent="0.55000000000000004">
      <c r="A96" s="3">
        <v>1238911180</v>
      </c>
      <c r="B96" s="1" t="s">
        <v>12</v>
      </c>
      <c r="C96" s="6">
        <v>26596</v>
      </c>
      <c r="D96" s="6">
        <v>39974</v>
      </c>
      <c r="E96" s="6"/>
      <c r="F96" s="1" t="s">
        <v>75</v>
      </c>
      <c r="G96" s="2">
        <v>61672</v>
      </c>
      <c r="H96" s="7">
        <v>2</v>
      </c>
      <c r="I96" s="7">
        <v>3</v>
      </c>
      <c r="J96" s="7">
        <v>2</v>
      </c>
      <c r="K96" s="7">
        <v>2</v>
      </c>
      <c r="L96" s="7">
        <v>2</v>
      </c>
    </row>
    <row r="97" spans="1:12" x14ac:dyDescent="0.55000000000000004">
      <c r="A97" s="3">
        <v>1238911181</v>
      </c>
      <c r="B97" s="1" t="s">
        <v>12</v>
      </c>
      <c r="C97" s="6">
        <v>26694</v>
      </c>
      <c r="D97" s="6">
        <v>35554</v>
      </c>
      <c r="E97" s="6"/>
      <c r="F97" s="1" t="s">
        <v>76</v>
      </c>
      <c r="G97" s="2">
        <v>137812.35</v>
      </c>
      <c r="H97" s="7">
        <v>2</v>
      </c>
      <c r="I97" s="7">
        <v>3</v>
      </c>
      <c r="J97" s="7">
        <v>2</v>
      </c>
      <c r="K97" s="7">
        <v>3</v>
      </c>
      <c r="L97" s="7">
        <v>2</v>
      </c>
    </row>
    <row r="98" spans="1:12" x14ac:dyDescent="0.55000000000000004">
      <c r="A98" s="3">
        <v>1238911182</v>
      </c>
      <c r="B98" s="1" t="s">
        <v>12</v>
      </c>
      <c r="C98" s="6">
        <v>25256</v>
      </c>
      <c r="D98" s="6">
        <v>38678</v>
      </c>
      <c r="E98" s="6">
        <v>44723</v>
      </c>
      <c r="F98" s="1" t="s">
        <v>62</v>
      </c>
      <c r="G98" s="2">
        <v>39390</v>
      </c>
      <c r="H98" s="7">
        <v>1</v>
      </c>
      <c r="I98" s="7">
        <v>2</v>
      </c>
      <c r="J98" s="7">
        <v>1</v>
      </c>
      <c r="K98" s="7">
        <v>1</v>
      </c>
      <c r="L98" s="7">
        <v>3</v>
      </c>
    </row>
    <row r="99" spans="1:12" x14ac:dyDescent="0.55000000000000004">
      <c r="A99" s="3">
        <v>1238911183</v>
      </c>
      <c r="B99" s="1" t="s">
        <v>12</v>
      </c>
      <c r="C99" s="6">
        <v>26998</v>
      </c>
      <c r="D99" s="6">
        <v>38149</v>
      </c>
      <c r="E99" s="6"/>
      <c r="F99" s="1" t="s">
        <v>77</v>
      </c>
      <c r="G99" s="2">
        <v>39390</v>
      </c>
      <c r="H99" s="7">
        <v>1</v>
      </c>
      <c r="I99" s="7">
        <v>2</v>
      </c>
      <c r="J99" s="7">
        <v>3</v>
      </c>
      <c r="K99" s="7">
        <v>2</v>
      </c>
      <c r="L99" s="7">
        <v>1</v>
      </c>
    </row>
    <row r="100" spans="1:12" x14ac:dyDescent="0.55000000000000004">
      <c r="A100" s="3">
        <v>1238911184</v>
      </c>
      <c r="B100" s="1" t="s">
        <v>12</v>
      </c>
      <c r="C100" s="6">
        <v>26726</v>
      </c>
      <c r="D100" s="6">
        <v>37417</v>
      </c>
      <c r="E100" s="6"/>
      <c r="F100" s="1" t="s">
        <v>78</v>
      </c>
      <c r="G100" s="2">
        <v>84150</v>
      </c>
      <c r="H100" s="7">
        <v>2</v>
      </c>
      <c r="I100" s="7">
        <v>1</v>
      </c>
      <c r="J100" s="7">
        <v>2</v>
      </c>
      <c r="K100" s="7">
        <v>2</v>
      </c>
      <c r="L100" s="7">
        <v>3</v>
      </c>
    </row>
    <row r="101" spans="1:12" x14ac:dyDescent="0.55000000000000004">
      <c r="A101" s="3">
        <v>1238911185</v>
      </c>
      <c r="B101" s="1" t="s">
        <v>12</v>
      </c>
      <c r="C101" s="6">
        <v>26870</v>
      </c>
      <c r="D101" s="6">
        <v>42178</v>
      </c>
      <c r="E101" s="6">
        <v>42643</v>
      </c>
      <c r="F101" s="1" t="s">
        <v>25</v>
      </c>
      <c r="G101" s="2">
        <v>29354</v>
      </c>
      <c r="H101" s="7">
        <v>3</v>
      </c>
      <c r="I101" s="7">
        <v>2</v>
      </c>
      <c r="J101" s="7">
        <v>2</v>
      </c>
      <c r="K101" s="7">
        <v>2</v>
      </c>
      <c r="L101" s="7">
        <v>2</v>
      </c>
    </row>
    <row r="102" spans="1:12" x14ac:dyDescent="0.55000000000000004">
      <c r="A102" s="3">
        <v>1238911186</v>
      </c>
      <c r="B102" s="1" t="s">
        <v>12</v>
      </c>
      <c r="C102" s="6">
        <v>26889</v>
      </c>
      <c r="D102" s="6">
        <v>38335</v>
      </c>
      <c r="E102" s="6"/>
      <c r="F102" s="1" t="s">
        <v>79</v>
      </c>
      <c r="G102" s="2">
        <v>246281.25</v>
      </c>
      <c r="H102" s="7">
        <v>3</v>
      </c>
      <c r="I102" s="7">
        <v>2</v>
      </c>
      <c r="J102" s="7">
        <v>3</v>
      </c>
      <c r="K102" s="7">
        <v>3</v>
      </c>
      <c r="L102" s="7">
        <v>2</v>
      </c>
    </row>
    <row r="103" spans="1:12" x14ac:dyDescent="0.55000000000000004">
      <c r="A103" s="3">
        <v>1238911192</v>
      </c>
      <c r="B103" s="1" t="s">
        <v>12</v>
      </c>
      <c r="C103" s="6">
        <v>27024</v>
      </c>
      <c r="D103" s="6">
        <v>35993</v>
      </c>
      <c r="E103" s="6"/>
      <c r="F103" s="1" t="s">
        <v>81</v>
      </c>
      <c r="G103" s="2">
        <v>44200</v>
      </c>
      <c r="H103" s="7">
        <v>2</v>
      </c>
      <c r="I103" s="7">
        <v>2</v>
      </c>
      <c r="J103" s="7">
        <v>1</v>
      </c>
      <c r="K103" s="7">
        <v>3</v>
      </c>
      <c r="L103" s="7">
        <v>3</v>
      </c>
    </row>
    <row r="104" spans="1:12" x14ac:dyDescent="0.55000000000000004">
      <c r="A104" s="3">
        <v>1238911194</v>
      </c>
      <c r="B104" s="1" t="s">
        <v>12</v>
      </c>
      <c r="C104" s="6">
        <v>27123</v>
      </c>
      <c r="D104" s="6">
        <v>37854</v>
      </c>
      <c r="E104" s="6"/>
      <c r="F104" s="1" t="s">
        <v>82</v>
      </c>
      <c r="G104" s="2">
        <v>132562.625</v>
      </c>
      <c r="H104" s="7">
        <v>3</v>
      </c>
      <c r="I104" s="7">
        <v>2</v>
      </c>
      <c r="J104" s="7">
        <v>3</v>
      </c>
      <c r="K104" s="7">
        <v>2</v>
      </c>
      <c r="L104" s="7">
        <v>2</v>
      </c>
    </row>
    <row r="105" spans="1:12" x14ac:dyDescent="0.55000000000000004">
      <c r="A105" s="3">
        <v>1238911195</v>
      </c>
      <c r="B105" s="1" t="s">
        <v>12</v>
      </c>
      <c r="C105" s="6">
        <v>27221</v>
      </c>
      <c r="D105" s="6">
        <v>39974</v>
      </c>
      <c r="E105" s="6"/>
      <c r="F105" s="1" t="s">
        <v>43</v>
      </c>
      <c r="G105" s="2">
        <v>31590</v>
      </c>
      <c r="H105" s="7">
        <v>2</v>
      </c>
      <c r="I105" s="7">
        <v>2</v>
      </c>
      <c r="J105" s="7">
        <v>1</v>
      </c>
      <c r="K105" s="7">
        <v>3</v>
      </c>
      <c r="L105" s="7">
        <v>2</v>
      </c>
    </row>
    <row r="106" spans="1:12" x14ac:dyDescent="0.55000000000000004">
      <c r="A106" s="3">
        <v>1238911196</v>
      </c>
      <c r="B106" s="1" t="s">
        <v>12</v>
      </c>
      <c r="C106" s="6">
        <v>27272</v>
      </c>
      <c r="D106" s="6">
        <v>44320</v>
      </c>
      <c r="E106" s="6">
        <v>45044</v>
      </c>
      <c r="F106" s="1" t="s">
        <v>83</v>
      </c>
      <c r="G106" s="2">
        <v>102756.22499999999</v>
      </c>
      <c r="H106" s="7">
        <v>2</v>
      </c>
      <c r="I106" s="7">
        <v>2</v>
      </c>
      <c r="J106" s="7">
        <v>2</v>
      </c>
      <c r="K106" s="7">
        <v>2</v>
      </c>
      <c r="L106" s="7">
        <v>2</v>
      </c>
    </row>
    <row r="107" spans="1:12" x14ac:dyDescent="0.55000000000000004">
      <c r="A107" s="3">
        <v>1238911197</v>
      </c>
      <c r="B107" s="1" t="s">
        <v>12</v>
      </c>
      <c r="C107" s="6">
        <v>27275</v>
      </c>
      <c r="D107" s="6">
        <v>35755</v>
      </c>
      <c r="E107" s="6"/>
      <c r="F107" s="1" t="s">
        <v>13</v>
      </c>
      <c r="G107" s="2">
        <v>30472</v>
      </c>
      <c r="H107" s="7">
        <v>1</v>
      </c>
      <c r="I107" s="7">
        <v>1</v>
      </c>
      <c r="J107" s="7">
        <v>1</v>
      </c>
      <c r="K107" s="7">
        <v>3</v>
      </c>
      <c r="L107" s="7">
        <v>1</v>
      </c>
    </row>
    <row r="108" spans="1:12" x14ac:dyDescent="0.55000000000000004">
      <c r="A108" s="3">
        <v>1238911200</v>
      </c>
      <c r="B108" s="1" t="s">
        <v>12</v>
      </c>
      <c r="C108" s="6">
        <v>27387</v>
      </c>
      <c r="D108" s="6">
        <v>37065</v>
      </c>
      <c r="E108" s="6"/>
      <c r="F108" s="1" t="s">
        <v>13</v>
      </c>
      <c r="G108" s="2">
        <v>26624</v>
      </c>
      <c r="H108" s="7">
        <v>2</v>
      </c>
      <c r="I108" s="7">
        <v>2</v>
      </c>
      <c r="J108" s="7">
        <v>2</v>
      </c>
      <c r="K108" s="7">
        <v>1</v>
      </c>
      <c r="L108" s="7">
        <v>2</v>
      </c>
    </row>
    <row r="109" spans="1:12" x14ac:dyDescent="0.55000000000000004">
      <c r="A109" s="3">
        <v>1238911202</v>
      </c>
      <c r="B109" s="1" t="s">
        <v>12</v>
      </c>
      <c r="C109" s="6">
        <v>26021</v>
      </c>
      <c r="D109" s="6">
        <v>43834</v>
      </c>
      <c r="E109" s="6">
        <v>44862</v>
      </c>
      <c r="F109" s="1" t="s">
        <v>84</v>
      </c>
      <c r="G109" s="2">
        <v>34138</v>
      </c>
      <c r="H109" s="7">
        <v>1</v>
      </c>
      <c r="I109" s="7">
        <v>2</v>
      </c>
      <c r="J109" s="7">
        <v>1</v>
      </c>
      <c r="K109" s="7">
        <v>3</v>
      </c>
      <c r="L109" s="7">
        <v>3</v>
      </c>
    </row>
    <row r="110" spans="1:12" x14ac:dyDescent="0.55000000000000004">
      <c r="A110" s="3">
        <v>1238911203</v>
      </c>
      <c r="B110" s="1" t="s">
        <v>12</v>
      </c>
      <c r="C110" s="6">
        <v>27548</v>
      </c>
      <c r="D110" s="6">
        <v>39894</v>
      </c>
      <c r="E110" s="6"/>
      <c r="F110" s="1" t="s">
        <v>85</v>
      </c>
      <c r="G110" s="2">
        <v>79330</v>
      </c>
      <c r="H110" s="7">
        <v>2</v>
      </c>
      <c r="I110" s="7">
        <v>1</v>
      </c>
      <c r="J110" s="7">
        <v>1</v>
      </c>
      <c r="K110" s="7">
        <v>2</v>
      </c>
      <c r="L110" s="7">
        <v>3</v>
      </c>
    </row>
    <row r="111" spans="1:12" x14ac:dyDescent="0.55000000000000004">
      <c r="A111" s="3">
        <v>1238911204</v>
      </c>
      <c r="B111" s="1" t="s">
        <v>12</v>
      </c>
      <c r="C111" s="6">
        <v>28896</v>
      </c>
      <c r="D111" s="6">
        <v>44006</v>
      </c>
      <c r="E111" s="6">
        <v>44565</v>
      </c>
      <c r="F111" s="1" t="s">
        <v>85</v>
      </c>
      <c r="G111" s="2">
        <v>79330</v>
      </c>
      <c r="H111" s="7">
        <v>2</v>
      </c>
      <c r="I111" s="7">
        <v>3</v>
      </c>
      <c r="J111" s="7">
        <v>3</v>
      </c>
      <c r="K111" s="7">
        <v>1</v>
      </c>
      <c r="L111" s="7">
        <v>2</v>
      </c>
    </row>
    <row r="112" spans="1:12" x14ac:dyDescent="0.55000000000000004">
      <c r="A112" s="3">
        <v>1238911205</v>
      </c>
      <c r="B112" s="1" t="s">
        <v>12</v>
      </c>
      <c r="C112" s="6">
        <v>27554</v>
      </c>
      <c r="D112" s="6">
        <v>40401</v>
      </c>
      <c r="E112" s="6"/>
      <c r="F112" s="1" t="s">
        <v>36</v>
      </c>
      <c r="G112" s="2">
        <v>61381.450000000004</v>
      </c>
      <c r="H112" s="7">
        <v>1</v>
      </c>
      <c r="I112" s="7">
        <v>3</v>
      </c>
      <c r="J112" s="7">
        <v>1</v>
      </c>
      <c r="K112" s="7">
        <v>2</v>
      </c>
      <c r="L112" s="7">
        <v>3</v>
      </c>
    </row>
    <row r="113" spans="1:12" x14ac:dyDescent="0.55000000000000004">
      <c r="A113" s="3">
        <v>1238911207</v>
      </c>
      <c r="B113" s="1" t="s">
        <v>12</v>
      </c>
      <c r="C113" s="6">
        <v>27622</v>
      </c>
      <c r="D113" s="6">
        <v>38664</v>
      </c>
      <c r="E113" s="6"/>
      <c r="F113" s="1" t="s">
        <v>25</v>
      </c>
      <c r="G113" s="2">
        <v>29172</v>
      </c>
      <c r="H113" s="7">
        <v>3</v>
      </c>
      <c r="I113" s="7">
        <v>1</v>
      </c>
      <c r="J113" s="7">
        <v>1</v>
      </c>
      <c r="K113" s="7">
        <v>2</v>
      </c>
      <c r="L113" s="7">
        <v>1</v>
      </c>
    </row>
    <row r="114" spans="1:12" x14ac:dyDescent="0.55000000000000004">
      <c r="A114" s="3">
        <v>1238911208</v>
      </c>
      <c r="B114" s="1" t="s">
        <v>12</v>
      </c>
      <c r="C114" s="6">
        <v>27623</v>
      </c>
      <c r="D114" s="6">
        <v>37547</v>
      </c>
      <c r="E114" s="6"/>
      <c r="F114" s="1" t="s">
        <v>86</v>
      </c>
      <c r="G114" s="2">
        <v>105634.1</v>
      </c>
      <c r="H114" s="7">
        <v>2</v>
      </c>
      <c r="I114" s="7">
        <v>3</v>
      </c>
      <c r="J114" s="7">
        <v>3</v>
      </c>
      <c r="K114" s="7">
        <v>2</v>
      </c>
      <c r="L114" s="7">
        <v>2</v>
      </c>
    </row>
    <row r="115" spans="1:12" x14ac:dyDescent="0.55000000000000004">
      <c r="A115" s="3">
        <v>1238911210</v>
      </c>
      <c r="B115" s="1" t="s">
        <v>12</v>
      </c>
      <c r="C115" s="6">
        <v>27687</v>
      </c>
      <c r="D115" s="6">
        <v>36933</v>
      </c>
      <c r="E115" s="6"/>
      <c r="F115" s="1" t="s">
        <v>87</v>
      </c>
      <c r="G115" s="2">
        <v>32240</v>
      </c>
      <c r="H115" s="7">
        <v>3</v>
      </c>
      <c r="I115" s="7">
        <v>2</v>
      </c>
      <c r="J115" s="7">
        <v>1</v>
      </c>
      <c r="K115" s="7">
        <v>1</v>
      </c>
      <c r="L115" s="7">
        <v>1</v>
      </c>
    </row>
    <row r="116" spans="1:12" x14ac:dyDescent="0.55000000000000004">
      <c r="A116" s="3">
        <v>1238911211</v>
      </c>
      <c r="B116" s="1" t="s">
        <v>12</v>
      </c>
      <c r="C116" s="6">
        <v>34758</v>
      </c>
      <c r="D116" s="6">
        <v>44685</v>
      </c>
      <c r="E116" s="6"/>
      <c r="F116" s="1" t="s">
        <v>87</v>
      </c>
      <c r="G116" s="2">
        <v>32240</v>
      </c>
      <c r="H116" s="7">
        <v>1</v>
      </c>
      <c r="I116" s="7">
        <v>1</v>
      </c>
      <c r="J116" s="7">
        <v>2</v>
      </c>
      <c r="K116" s="7">
        <v>3</v>
      </c>
      <c r="L116" s="7">
        <v>3</v>
      </c>
    </row>
    <row r="117" spans="1:12" x14ac:dyDescent="0.55000000000000004">
      <c r="A117" s="3">
        <v>1238911221</v>
      </c>
      <c r="B117" s="1" t="s">
        <v>12</v>
      </c>
      <c r="C117" s="6">
        <v>27990</v>
      </c>
      <c r="D117" s="6">
        <v>39894</v>
      </c>
      <c r="E117" s="6"/>
      <c r="F117" s="1" t="s">
        <v>91</v>
      </c>
      <c r="G117" s="2">
        <v>51449.399999999994</v>
      </c>
      <c r="H117" s="7">
        <v>1</v>
      </c>
      <c r="I117" s="7">
        <v>1</v>
      </c>
      <c r="J117" s="7">
        <v>1</v>
      </c>
      <c r="K117" s="7">
        <v>1</v>
      </c>
      <c r="L117" s="7">
        <v>2</v>
      </c>
    </row>
    <row r="118" spans="1:12" x14ac:dyDescent="0.55000000000000004">
      <c r="A118" s="3">
        <v>1238911222</v>
      </c>
      <c r="B118" s="1" t="s">
        <v>12</v>
      </c>
      <c r="C118" s="6">
        <v>27993</v>
      </c>
      <c r="D118" s="6">
        <v>40401</v>
      </c>
      <c r="E118" s="6"/>
      <c r="F118" s="1" t="s">
        <v>13</v>
      </c>
      <c r="G118" s="2">
        <v>33826</v>
      </c>
      <c r="H118" s="7">
        <v>3</v>
      </c>
      <c r="I118" s="7">
        <v>2</v>
      </c>
      <c r="J118" s="7">
        <v>3</v>
      </c>
      <c r="K118" s="7">
        <v>2</v>
      </c>
      <c r="L118" s="7">
        <v>1</v>
      </c>
    </row>
    <row r="119" spans="1:12" x14ac:dyDescent="0.55000000000000004">
      <c r="A119" s="3">
        <v>1238911226</v>
      </c>
      <c r="B119" s="1" t="s">
        <v>12</v>
      </c>
      <c r="C119" s="6">
        <v>28052</v>
      </c>
      <c r="D119" s="6">
        <v>39568</v>
      </c>
      <c r="E119" s="6"/>
      <c r="F119" s="1" t="s">
        <v>93</v>
      </c>
      <c r="G119" s="2">
        <v>260100.09999999998</v>
      </c>
      <c r="H119" s="7">
        <v>2</v>
      </c>
      <c r="I119" s="7">
        <v>2</v>
      </c>
      <c r="J119" s="7">
        <v>2</v>
      </c>
      <c r="K119" s="7">
        <v>3</v>
      </c>
      <c r="L119" s="7">
        <v>2</v>
      </c>
    </row>
    <row r="120" spans="1:12" x14ac:dyDescent="0.55000000000000004">
      <c r="A120" s="3">
        <v>1238911228</v>
      </c>
      <c r="B120" s="1" t="s">
        <v>12</v>
      </c>
      <c r="C120" s="6">
        <v>28154</v>
      </c>
      <c r="D120" s="6">
        <v>40951</v>
      </c>
      <c r="E120" s="6">
        <v>41812</v>
      </c>
      <c r="F120" s="1" t="s">
        <v>13</v>
      </c>
      <c r="G120" s="2">
        <v>29510</v>
      </c>
      <c r="H120" s="7">
        <v>2</v>
      </c>
      <c r="I120" s="7">
        <v>1</v>
      </c>
      <c r="J120" s="7">
        <v>2</v>
      </c>
      <c r="K120" s="7">
        <v>3</v>
      </c>
      <c r="L120" s="7">
        <v>2</v>
      </c>
    </row>
    <row r="121" spans="1:12" x14ac:dyDescent="0.55000000000000004">
      <c r="A121" s="3">
        <v>1238911232</v>
      </c>
      <c r="B121" s="1" t="s">
        <v>12</v>
      </c>
      <c r="C121" s="6">
        <v>28173</v>
      </c>
      <c r="D121" s="6">
        <v>35755</v>
      </c>
      <c r="E121" s="6"/>
      <c r="F121" s="1" t="s">
        <v>94</v>
      </c>
      <c r="G121" s="2">
        <v>163363.20000000001</v>
      </c>
      <c r="H121" s="7">
        <v>2</v>
      </c>
      <c r="I121" s="7">
        <v>2</v>
      </c>
      <c r="J121" s="7">
        <v>2</v>
      </c>
      <c r="K121" s="7">
        <v>2</v>
      </c>
      <c r="L121" s="7">
        <v>2</v>
      </c>
    </row>
    <row r="122" spans="1:12" x14ac:dyDescent="0.55000000000000004">
      <c r="A122" s="3">
        <v>1238911236</v>
      </c>
      <c r="B122" s="1" t="s">
        <v>12</v>
      </c>
      <c r="C122" s="6">
        <v>28243</v>
      </c>
      <c r="D122" s="6">
        <v>36509</v>
      </c>
      <c r="E122" s="6"/>
      <c r="F122" s="1" t="s">
        <v>13</v>
      </c>
      <c r="G122" s="2">
        <v>31902</v>
      </c>
      <c r="H122" s="7">
        <v>3</v>
      </c>
      <c r="I122" s="7">
        <v>2</v>
      </c>
      <c r="J122" s="7">
        <v>3</v>
      </c>
      <c r="K122" s="7">
        <v>3</v>
      </c>
      <c r="L122" s="7">
        <v>3</v>
      </c>
    </row>
    <row r="123" spans="1:12" x14ac:dyDescent="0.55000000000000004">
      <c r="A123" s="3">
        <v>1238911237</v>
      </c>
      <c r="B123" s="1" t="s">
        <v>12</v>
      </c>
      <c r="C123" s="6">
        <v>28311</v>
      </c>
      <c r="D123" s="6">
        <v>39894</v>
      </c>
      <c r="E123" s="6"/>
      <c r="F123" s="1" t="s">
        <v>97</v>
      </c>
      <c r="G123" s="2">
        <v>143771.875</v>
      </c>
      <c r="H123" s="7">
        <v>3</v>
      </c>
      <c r="I123" s="7">
        <v>3</v>
      </c>
      <c r="J123" s="7">
        <v>2</v>
      </c>
      <c r="K123" s="7">
        <v>2</v>
      </c>
      <c r="L123" s="7">
        <v>2</v>
      </c>
    </row>
    <row r="124" spans="1:12" x14ac:dyDescent="0.55000000000000004">
      <c r="A124" s="3">
        <v>1238911238</v>
      </c>
      <c r="B124" s="1" t="s">
        <v>12</v>
      </c>
      <c r="C124" s="6">
        <v>28335</v>
      </c>
      <c r="D124" s="6">
        <v>40401</v>
      </c>
      <c r="E124" s="6"/>
      <c r="F124" s="1" t="s">
        <v>43</v>
      </c>
      <c r="G124" s="2">
        <v>31616</v>
      </c>
      <c r="H124" s="7">
        <v>1</v>
      </c>
      <c r="I124" s="7">
        <v>3</v>
      </c>
      <c r="J124" s="7">
        <v>3</v>
      </c>
      <c r="K124" s="7">
        <v>3</v>
      </c>
      <c r="L124" s="7">
        <v>3</v>
      </c>
    </row>
    <row r="125" spans="1:12" x14ac:dyDescent="0.55000000000000004">
      <c r="A125" s="3">
        <v>1238911239</v>
      </c>
      <c r="B125" s="1" t="s">
        <v>12</v>
      </c>
      <c r="C125" s="6">
        <v>28423</v>
      </c>
      <c r="D125" s="6">
        <v>36157</v>
      </c>
      <c r="E125" s="6"/>
      <c r="F125" s="1" t="s">
        <v>98</v>
      </c>
      <c r="G125" s="2">
        <v>62500</v>
      </c>
      <c r="H125" s="7">
        <v>2</v>
      </c>
      <c r="I125" s="7">
        <v>2</v>
      </c>
      <c r="J125" s="7">
        <v>2</v>
      </c>
      <c r="K125" s="7">
        <v>3</v>
      </c>
      <c r="L125" s="7">
        <v>3</v>
      </c>
    </row>
    <row r="126" spans="1:12" x14ac:dyDescent="0.55000000000000004">
      <c r="A126" s="3">
        <v>1238911240</v>
      </c>
      <c r="B126" s="1" t="s">
        <v>12</v>
      </c>
      <c r="C126" s="6">
        <v>28440</v>
      </c>
      <c r="D126" s="6">
        <v>38664</v>
      </c>
      <c r="E126" s="6"/>
      <c r="F126" s="1" t="s">
        <v>13</v>
      </c>
      <c r="G126" s="2">
        <v>27300</v>
      </c>
      <c r="H126" s="7">
        <v>2</v>
      </c>
      <c r="I126" s="7">
        <v>2</v>
      </c>
      <c r="J126" s="7">
        <v>1</v>
      </c>
      <c r="K126" s="7">
        <v>3</v>
      </c>
      <c r="L126" s="7">
        <v>1</v>
      </c>
    </row>
    <row r="127" spans="1:12" x14ac:dyDescent="0.55000000000000004">
      <c r="A127" s="3">
        <v>1238911243</v>
      </c>
      <c r="B127" s="1" t="s">
        <v>12</v>
      </c>
      <c r="C127" s="6">
        <v>28447</v>
      </c>
      <c r="D127" s="6">
        <v>36933</v>
      </c>
      <c r="E127" s="6"/>
      <c r="F127" s="1" t="s">
        <v>99</v>
      </c>
      <c r="G127" s="2">
        <v>125048.3</v>
      </c>
      <c r="H127" s="7">
        <v>3</v>
      </c>
      <c r="I127" s="7">
        <v>2</v>
      </c>
      <c r="J127" s="7">
        <v>3</v>
      </c>
      <c r="K127" s="7">
        <v>2</v>
      </c>
      <c r="L127" s="7">
        <v>2</v>
      </c>
    </row>
    <row r="128" spans="1:12" x14ac:dyDescent="0.55000000000000004">
      <c r="A128" s="3">
        <v>1238911244</v>
      </c>
      <c r="B128" s="1" t="s">
        <v>12</v>
      </c>
      <c r="C128" s="6">
        <v>28482</v>
      </c>
      <c r="D128" s="6">
        <v>37854</v>
      </c>
      <c r="E128" s="6"/>
      <c r="F128" s="1" t="s">
        <v>100</v>
      </c>
      <c r="G128" s="2">
        <v>89294.725000000006</v>
      </c>
      <c r="H128" s="7">
        <v>3</v>
      </c>
      <c r="I128" s="7">
        <v>3</v>
      </c>
      <c r="J128" s="7">
        <v>2</v>
      </c>
      <c r="K128" s="7">
        <v>2</v>
      </c>
      <c r="L128" s="7">
        <v>1</v>
      </c>
    </row>
    <row r="129" spans="1:12" x14ac:dyDescent="0.55000000000000004">
      <c r="A129" s="3">
        <v>1238911245</v>
      </c>
      <c r="B129" s="1" t="s">
        <v>12</v>
      </c>
      <c r="C129" s="6">
        <v>28482</v>
      </c>
      <c r="D129" s="6">
        <v>39974</v>
      </c>
      <c r="E129" s="6"/>
      <c r="F129" s="1" t="s">
        <v>100</v>
      </c>
      <c r="G129" s="2">
        <v>89294.725000000006</v>
      </c>
      <c r="H129" s="7">
        <v>3</v>
      </c>
      <c r="I129" s="7">
        <v>2</v>
      </c>
      <c r="J129" s="7">
        <v>3</v>
      </c>
      <c r="K129" s="7">
        <v>3</v>
      </c>
      <c r="L129" s="7">
        <v>3</v>
      </c>
    </row>
    <row r="130" spans="1:12" x14ac:dyDescent="0.55000000000000004">
      <c r="A130" s="3">
        <v>1238911246</v>
      </c>
      <c r="B130" s="1" t="s">
        <v>12</v>
      </c>
      <c r="C130" s="6">
        <v>28535</v>
      </c>
      <c r="D130" s="6">
        <v>39937</v>
      </c>
      <c r="E130" s="6"/>
      <c r="F130" s="1" t="s">
        <v>101</v>
      </c>
      <c r="G130" s="2">
        <v>262650.05</v>
      </c>
      <c r="H130" s="7">
        <v>2</v>
      </c>
      <c r="I130" s="7">
        <v>2</v>
      </c>
      <c r="J130" s="7">
        <v>3</v>
      </c>
      <c r="K130" s="7">
        <v>2</v>
      </c>
      <c r="L130" s="7">
        <v>3</v>
      </c>
    </row>
    <row r="131" spans="1:12" x14ac:dyDescent="0.55000000000000004">
      <c r="A131" s="3">
        <v>1238911247</v>
      </c>
      <c r="B131" s="1" t="s">
        <v>12</v>
      </c>
      <c r="C131" s="6">
        <v>28581</v>
      </c>
      <c r="D131" s="6">
        <v>40138</v>
      </c>
      <c r="E131" s="6"/>
      <c r="F131" s="1" t="s">
        <v>102</v>
      </c>
      <c r="G131" s="2">
        <v>94141.25</v>
      </c>
      <c r="H131" s="7">
        <v>3</v>
      </c>
      <c r="I131" s="7">
        <v>2</v>
      </c>
      <c r="J131" s="7">
        <v>1</v>
      </c>
      <c r="K131" s="7">
        <v>3</v>
      </c>
      <c r="L131" s="7">
        <v>3</v>
      </c>
    </row>
    <row r="132" spans="1:12" x14ac:dyDescent="0.55000000000000004">
      <c r="A132" s="3">
        <v>1238911249</v>
      </c>
      <c r="B132" s="1" t="s">
        <v>12</v>
      </c>
      <c r="C132" s="6">
        <v>28621</v>
      </c>
      <c r="D132" s="6">
        <v>37417</v>
      </c>
      <c r="E132" s="6"/>
      <c r="F132" s="1" t="s">
        <v>59</v>
      </c>
      <c r="G132" s="2">
        <v>67600</v>
      </c>
      <c r="H132" s="7">
        <v>1</v>
      </c>
      <c r="I132" s="7">
        <v>2</v>
      </c>
      <c r="J132" s="7">
        <v>3</v>
      </c>
      <c r="K132" s="7">
        <v>2</v>
      </c>
      <c r="L132" s="7">
        <v>1</v>
      </c>
    </row>
    <row r="133" spans="1:12" x14ac:dyDescent="0.55000000000000004">
      <c r="A133" s="3">
        <v>1238911251</v>
      </c>
      <c r="B133" s="1" t="s">
        <v>12</v>
      </c>
      <c r="C133" s="6">
        <v>28717</v>
      </c>
      <c r="D133" s="6">
        <v>36509</v>
      </c>
      <c r="E133" s="6"/>
      <c r="F133" s="1" t="s">
        <v>105</v>
      </c>
      <c r="G133" s="2">
        <v>62500</v>
      </c>
      <c r="H133" s="7">
        <v>3</v>
      </c>
      <c r="I133" s="7">
        <v>2</v>
      </c>
      <c r="J133" s="7">
        <v>3</v>
      </c>
      <c r="K133" s="7">
        <v>3</v>
      </c>
      <c r="L133" s="7">
        <v>2</v>
      </c>
    </row>
    <row r="134" spans="1:12" x14ac:dyDescent="0.55000000000000004">
      <c r="A134" s="3">
        <v>1238911254</v>
      </c>
      <c r="B134" s="1" t="s">
        <v>12</v>
      </c>
      <c r="C134" s="6">
        <v>28762</v>
      </c>
      <c r="D134" s="6">
        <v>40401</v>
      </c>
      <c r="E134" s="6"/>
      <c r="F134" s="1" t="s">
        <v>107</v>
      </c>
      <c r="G134" s="2">
        <v>30940</v>
      </c>
      <c r="H134" s="7">
        <v>2</v>
      </c>
      <c r="I134" s="7">
        <v>1</v>
      </c>
      <c r="J134" s="7">
        <v>2</v>
      </c>
      <c r="K134" s="7">
        <v>1</v>
      </c>
      <c r="L134" s="7">
        <v>1</v>
      </c>
    </row>
    <row r="135" spans="1:12" x14ac:dyDescent="0.55000000000000004">
      <c r="A135" s="3">
        <v>1238911255</v>
      </c>
      <c r="B135" s="1" t="s">
        <v>12</v>
      </c>
      <c r="C135" s="6">
        <v>28762</v>
      </c>
      <c r="D135" s="6">
        <v>40540</v>
      </c>
      <c r="E135" s="6"/>
      <c r="F135" s="1" t="s">
        <v>107</v>
      </c>
      <c r="G135" s="2">
        <v>30940</v>
      </c>
      <c r="H135" s="7">
        <v>1</v>
      </c>
      <c r="I135" s="7">
        <v>2</v>
      </c>
      <c r="J135" s="7">
        <v>3</v>
      </c>
      <c r="K135" s="7">
        <v>2</v>
      </c>
      <c r="L135" s="7">
        <v>1</v>
      </c>
    </row>
    <row r="136" spans="1:12" x14ac:dyDescent="0.55000000000000004">
      <c r="A136" s="3">
        <v>1238911257</v>
      </c>
      <c r="B136" s="1" t="s">
        <v>12</v>
      </c>
      <c r="C136" s="6">
        <v>28854</v>
      </c>
      <c r="D136" s="6">
        <v>37547</v>
      </c>
      <c r="E136" s="6"/>
      <c r="F136" s="1" t="s">
        <v>68</v>
      </c>
      <c r="G136" s="2">
        <v>63437.5</v>
      </c>
      <c r="H136" s="7">
        <v>2</v>
      </c>
      <c r="I136" s="7">
        <v>3</v>
      </c>
      <c r="J136" s="7">
        <v>3</v>
      </c>
      <c r="K136" s="7">
        <v>2</v>
      </c>
      <c r="L136" s="7">
        <v>3</v>
      </c>
    </row>
    <row r="137" spans="1:12" x14ac:dyDescent="0.55000000000000004">
      <c r="A137" s="3">
        <v>1238911258</v>
      </c>
      <c r="B137" s="1" t="s">
        <v>12</v>
      </c>
      <c r="C137" s="6">
        <v>28878</v>
      </c>
      <c r="D137" s="6">
        <v>44531</v>
      </c>
      <c r="E137" s="6"/>
      <c r="F137" s="1" t="s">
        <v>108</v>
      </c>
      <c r="G137" s="2">
        <v>118978.6</v>
      </c>
      <c r="H137" s="7">
        <v>2</v>
      </c>
      <c r="I137" s="7">
        <v>2</v>
      </c>
      <c r="J137" s="7">
        <v>3</v>
      </c>
      <c r="K137" s="7">
        <v>3</v>
      </c>
      <c r="L137" s="7">
        <v>3</v>
      </c>
    </row>
    <row r="138" spans="1:12" x14ac:dyDescent="0.55000000000000004">
      <c r="A138" s="3">
        <v>1238911259</v>
      </c>
      <c r="B138" s="1" t="s">
        <v>12</v>
      </c>
      <c r="C138" s="6">
        <v>28887</v>
      </c>
      <c r="D138" s="6">
        <v>43979</v>
      </c>
      <c r="E138" s="6"/>
      <c r="F138" s="1" t="s">
        <v>109</v>
      </c>
      <c r="G138" s="2">
        <v>37570</v>
      </c>
      <c r="H138" s="7">
        <v>3</v>
      </c>
      <c r="I138" s="7">
        <v>2</v>
      </c>
      <c r="J138" s="7">
        <v>1</v>
      </c>
      <c r="K138" s="7">
        <v>3</v>
      </c>
      <c r="L138" s="7">
        <v>1</v>
      </c>
    </row>
    <row r="139" spans="1:12" x14ac:dyDescent="0.55000000000000004">
      <c r="A139" s="3">
        <v>1238911260</v>
      </c>
      <c r="B139" s="1" t="s">
        <v>12</v>
      </c>
      <c r="C139" s="6">
        <v>28887</v>
      </c>
      <c r="D139" s="6">
        <v>42980</v>
      </c>
      <c r="E139" s="6">
        <v>43979</v>
      </c>
      <c r="F139" s="1" t="s">
        <v>109</v>
      </c>
      <c r="G139" s="2">
        <v>37570</v>
      </c>
      <c r="H139" s="7">
        <v>2</v>
      </c>
      <c r="I139" s="7">
        <v>2</v>
      </c>
      <c r="J139" s="7">
        <v>3</v>
      </c>
      <c r="K139" s="7">
        <v>1</v>
      </c>
      <c r="L139" s="7">
        <v>2</v>
      </c>
    </row>
    <row r="140" spans="1:12" x14ac:dyDescent="0.55000000000000004">
      <c r="A140" s="3">
        <v>1238911261</v>
      </c>
      <c r="B140" s="1" t="s">
        <v>12</v>
      </c>
      <c r="C140" s="6">
        <v>28893</v>
      </c>
      <c r="D140" s="6">
        <v>42488</v>
      </c>
      <c r="E140" s="6"/>
      <c r="F140" s="1" t="s">
        <v>45</v>
      </c>
      <c r="G140" s="2">
        <v>67964</v>
      </c>
      <c r="H140" s="7">
        <v>1</v>
      </c>
      <c r="I140" s="7">
        <v>3</v>
      </c>
      <c r="J140" s="7">
        <v>1</v>
      </c>
      <c r="K140" s="7">
        <v>2</v>
      </c>
      <c r="L140" s="7">
        <v>1</v>
      </c>
    </row>
    <row r="141" spans="1:12" x14ac:dyDescent="0.55000000000000004">
      <c r="A141" s="3">
        <v>1238911262</v>
      </c>
      <c r="B141" s="1" t="s">
        <v>12</v>
      </c>
      <c r="C141" s="6">
        <v>28909</v>
      </c>
      <c r="D141" s="6">
        <v>42697</v>
      </c>
      <c r="E141" s="6"/>
      <c r="F141" s="1" t="s">
        <v>110</v>
      </c>
      <c r="G141" s="2">
        <v>93967.5</v>
      </c>
      <c r="H141" s="7">
        <v>3</v>
      </c>
      <c r="I141" s="7">
        <v>3</v>
      </c>
      <c r="J141" s="7">
        <v>3</v>
      </c>
      <c r="K141" s="7">
        <v>2</v>
      </c>
      <c r="L141" s="7">
        <v>2</v>
      </c>
    </row>
    <row r="142" spans="1:12" x14ac:dyDescent="0.55000000000000004">
      <c r="A142" s="3">
        <v>1238911263</v>
      </c>
      <c r="B142" s="1" t="s">
        <v>12</v>
      </c>
      <c r="C142" s="6">
        <v>28953</v>
      </c>
      <c r="D142" s="6">
        <v>42455</v>
      </c>
      <c r="E142" s="6"/>
      <c r="F142" s="1" t="s">
        <v>25</v>
      </c>
      <c r="G142" s="2">
        <v>34658</v>
      </c>
      <c r="H142" s="7">
        <v>3</v>
      </c>
      <c r="I142" s="7">
        <v>3</v>
      </c>
      <c r="J142" s="7">
        <v>2</v>
      </c>
      <c r="K142" s="7">
        <v>3</v>
      </c>
      <c r="L142" s="7">
        <v>3</v>
      </c>
    </row>
    <row r="143" spans="1:12" x14ac:dyDescent="0.55000000000000004">
      <c r="A143" s="3">
        <v>1238911266</v>
      </c>
      <c r="B143" s="1" t="s">
        <v>12</v>
      </c>
      <c r="C143" s="6">
        <v>28975</v>
      </c>
      <c r="D143" s="6">
        <v>40887</v>
      </c>
      <c r="E143" s="6"/>
      <c r="F143" s="1" t="s">
        <v>111</v>
      </c>
      <c r="G143" s="2">
        <v>32032</v>
      </c>
      <c r="H143" s="7">
        <v>2</v>
      </c>
      <c r="I143" s="7">
        <v>1</v>
      </c>
      <c r="J143" s="7">
        <v>3</v>
      </c>
      <c r="K143" s="7">
        <v>1</v>
      </c>
      <c r="L143" s="7">
        <v>1</v>
      </c>
    </row>
    <row r="144" spans="1:12" x14ac:dyDescent="0.55000000000000004">
      <c r="A144" s="3">
        <v>1238911267</v>
      </c>
      <c r="B144" s="1" t="s">
        <v>12</v>
      </c>
      <c r="C144" s="6">
        <v>28999</v>
      </c>
      <c r="D144" s="6">
        <v>41537</v>
      </c>
      <c r="E144" s="6"/>
      <c r="F144" s="1" t="s">
        <v>107</v>
      </c>
      <c r="G144" s="2">
        <v>31616</v>
      </c>
      <c r="H144" s="7">
        <v>3</v>
      </c>
      <c r="I144" s="7">
        <v>2</v>
      </c>
      <c r="J144" s="7">
        <v>2</v>
      </c>
      <c r="K144" s="7">
        <v>3</v>
      </c>
      <c r="L144" s="7">
        <v>2</v>
      </c>
    </row>
    <row r="145" spans="1:12" x14ac:dyDescent="0.55000000000000004">
      <c r="A145" s="3">
        <v>1238911269</v>
      </c>
      <c r="B145" s="1" t="s">
        <v>12</v>
      </c>
      <c r="C145" s="6">
        <v>29077</v>
      </c>
      <c r="D145" s="6">
        <v>44818</v>
      </c>
      <c r="E145" s="6"/>
      <c r="F145" s="1" t="s">
        <v>112</v>
      </c>
      <c r="G145" s="2">
        <v>170266.19999999998</v>
      </c>
      <c r="H145" s="7">
        <v>3</v>
      </c>
      <c r="I145" s="7">
        <v>3</v>
      </c>
      <c r="J145" s="7">
        <v>2</v>
      </c>
      <c r="K145" s="7">
        <v>2</v>
      </c>
      <c r="L145" s="7">
        <v>2</v>
      </c>
    </row>
    <row r="146" spans="1:12" x14ac:dyDescent="0.55000000000000004">
      <c r="A146" s="3">
        <v>1238911273</v>
      </c>
      <c r="B146" s="1" t="s">
        <v>12</v>
      </c>
      <c r="C146" s="6">
        <v>29154</v>
      </c>
      <c r="D146" s="6">
        <v>41346</v>
      </c>
      <c r="E146" s="6"/>
      <c r="F146" s="1" t="s">
        <v>115</v>
      </c>
      <c r="G146" s="2">
        <v>130842.4</v>
      </c>
      <c r="H146" s="7">
        <v>3</v>
      </c>
      <c r="I146" s="7">
        <v>2</v>
      </c>
      <c r="J146" s="7">
        <v>3</v>
      </c>
      <c r="K146" s="7">
        <v>2</v>
      </c>
      <c r="L146" s="7">
        <v>2</v>
      </c>
    </row>
    <row r="147" spans="1:12" x14ac:dyDescent="0.55000000000000004">
      <c r="A147" s="3">
        <v>1238911274</v>
      </c>
      <c r="B147" s="1" t="s">
        <v>12</v>
      </c>
      <c r="C147" s="6">
        <v>29155</v>
      </c>
      <c r="D147" s="6">
        <v>41115</v>
      </c>
      <c r="E147" s="6"/>
      <c r="F147" s="1" t="s">
        <v>116</v>
      </c>
      <c r="G147" s="2">
        <v>144103.04999999999</v>
      </c>
      <c r="H147" s="7">
        <v>2</v>
      </c>
      <c r="I147" s="7">
        <v>3</v>
      </c>
      <c r="J147" s="7">
        <v>2</v>
      </c>
      <c r="K147" s="7">
        <v>2</v>
      </c>
      <c r="L147" s="7">
        <v>2</v>
      </c>
    </row>
    <row r="148" spans="1:12" x14ac:dyDescent="0.55000000000000004">
      <c r="A148" s="3">
        <v>1238911275</v>
      </c>
      <c r="B148" s="1" t="s">
        <v>12</v>
      </c>
      <c r="C148" s="6">
        <v>29222</v>
      </c>
      <c r="D148" s="6">
        <v>44468</v>
      </c>
      <c r="E148" s="6">
        <v>45216</v>
      </c>
      <c r="F148" s="1" t="s">
        <v>43</v>
      </c>
      <c r="G148" s="2">
        <v>30082</v>
      </c>
      <c r="H148" s="7">
        <v>2</v>
      </c>
      <c r="I148" s="7">
        <v>3</v>
      </c>
      <c r="J148" s="7">
        <v>3</v>
      </c>
      <c r="K148" s="7">
        <v>1</v>
      </c>
      <c r="L148" s="7">
        <v>2</v>
      </c>
    </row>
    <row r="149" spans="1:12" x14ac:dyDescent="0.55000000000000004">
      <c r="A149" s="3">
        <v>1238911279</v>
      </c>
      <c r="B149" s="1" t="s">
        <v>12</v>
      </c>
      <c r="C149" s="6">
        <v>29408</v>
      </c>
      <c r="D149" s="6">
        <v>41153</v>
      </c>
      <c r="E149" s="6"/>
      <c r="F149" s="1" t="s">
        <v>23</v>
      </c>
      <c r="G149" s="2">
        <v>49439.399999999994</v>
      </c>
      <c r="H149" s="7">
        <v>1</v>
      </c>
      <c r="I149" s="7">
        <v>1</v>
      </c>
      <c r="J149" s="7">
        <v>2</v>
      </c>
      <c r="K149" s="7">
        <v>3</v>
      </c>
      <c r="L149" s="7">
        <v>2</v>
      </c>
    </row>
    <row r="150" spans="1:12" x14ac:dyDescent="0.55000000000000004">
      <c r="A150" s="3">
        <v>1238911280</v>
      </c>
      <c r="B150" s="1" t="s">
        <v>12</v>
      </c>
      <c r="C150" s="6">
        <v>29458</v>
      </c>
      <c r="D150" s="6">
        <v>45099</v>
      </c>
      <c r="E150" s="6"/>
      <c r="F150" s="1" t="s">
        <v>74</v>
      </c>
      <c r="G150" s="2">
        <v>49997.5</v>
      </c>
      <c r="H150" s="7">
        <v>3</v>
      </c>
      <c r="I150" s="7">
        <v>2</v>
      </c>
      <c r="J150" s="7">
        <v>1</v>
      </c>
      <c r="K150" s="7">
        <v>2</v>
      </c>
      <c r="L150" s="7">
        <v>2</v>
      </c>
    </row>
    <row r="151" spans="1:12" x14ac:dyDescent="0.55000000000000004">
      <c r="A151" s="3">
        <v>1238911281</v>
      </c>
      <c r="B151" s="1" t="s">
        <v>12</v>
      </c>
      <c r="C151" s="6">
        <v>29465</v>
      </c>
      <c r="D151" s="6">
        <v>42921</v>
      </c>
      <c r="E151" s="6"/>
      <c r="F151" s="1" t="s">
        <v>118</v>
      </c>
      <c r="G151" s="2">
        <v>49628.875</v>
      </c>
      <c r="H151" s="7">
        <v>2</v>
      </c>
      <c r="I151" s="7">
        <v>2</v>
      </c>
      <c r="J151" s="7">
        <v>1</v>
      </c>
      <c r="K151" s="7">
        <v>1</v>
      </c>
      <c r="L151" s="7">
        <v>2</v>
      </c>
    </row>
    <row r="152" spans="1:12" x14ac:dyDescent="0.55000000000000004">
      <c r="A152" s="3">
        <v>1238911282</v>
      </c>
      <c r="B152" s="1" t="s">
        <v>12</v>
      </c>
      <c r="C152" s="6">
        <v>29465</v>
      </c>
      <c r="D152" s="6">
        <v>41110</v>
      </c>
      <c r="E152" s="6"/>
      <c r="F152" s="1" t="s">
        <v>119</v>
      </c>
      <c r="G152" s="2">
        <v>380842.47499999998</v>
      </c>
      <c r="H152" s="7">
        <v>3</v>
      </c>
      <c r="I152" s="7">
        <v>2</v>
      </c>
      <c r="J152" s="7">
        <v>3</v>
      </c>
      <c r="K152" s="7">
        <v>3</v>
      </c>
      <c r="L152" s="7">
        <v>3</v>
      </c>
    </row>
    <row r="153" spans="1:12" x14ac:dyDescent="0.55000000000000004">
      <c r="A153" s="3">
        <v>1238911283</v>
      </c>
      <c r="B153" s="1" t="s">
        <v>12</v>
      </c>
      <c r="C153" s="6">
        <v>29466</v>
      </c>
      <c r="D153" s="6">
        <v>43707</v>
      </c>
      <c r="E153" s="6"/>
      <c r="F153" s="1" t="s">
        <v>120</v>
      </c>
      <c r="G153" s="2">
        <v>171562.5</v>
      </c>
      <c r="H153" s="7">
        <v>3</v>
      </c>
      <c r="I153" s="7">
        <v>2</v>
      </c>
      <c r="J153" s="7">
        <v>3</v>
      </c>
      <c r="K153" s="7">
        <v>2</v>
      </c>
      <c r="L153" s="7">
        <v>2</v>
      </c>
    </row>
    <row r="154" spans="1:12" x14ac:dyDescent="0.55000000000000004">
      <c r="A154" s="3">
        <v>1238911285</v>
      </c>
      <c r="B154" s="1" t="s">
        <v>12</v>
      </c>
      <c r="C154" s="6">
        <v>29495</v>
      </c>
      <c r="D154" s="6">
        <v>40978</v>
      </c>
      <c r="E154" s="6"/>
      <c r="F154" s="1" t="s">
        <v>122</v>
      </c>
      <c r="G154" s="2">
        <v>187500</v>
      </c>
      <c r="H154" s="7">
        <v>3</v>
      </c>
      <c r="I154" s="7">
        <v>3</v>
      </c>
      <c r="J154" s="7">
        <v>2</v>
      </c>
      <c r="K154" s="7">
        <v>2</v>
      </c>
      <c r="L154" s="7">
        <v>3</v>
      </c>
    </row>
    <row r="155" spans="1:12" x14ac:dyDescent="0.55000000000000004">
      <c r="A155" s="3">
        <v>1238911286</v>
      </c>
      <c r="B155" s="1" t="s">
        <v>12</v>
      </c>
      <c r="C155" s="6">
        <v>29522</v>
      </c>
      <c r="D155" s="6">
        <v>42871</v>
      </c>
      <c r="E155" s="6">
        <v>43768</v>
      </c>
      <c r="F155" s="1" t="s">
        <v>43</v>
      </c>
      <c r="G155" s="2">
        <v>29900</v>
      </c>
      <c r="H155" s="7">
        <v>3</v>
      </c>
      <c r="I155" s="7">
        <v>2</v>
      </c>
      <c r="J155" s="7">
        <v>1</v>
      </c>
      <c r="K155" s="7">
        <v>1</v>
      </c>
      <c r="L155" s="7">
        <v>2</v>
      </c>
    </row>
    <row r="156" spans="1:12" x14ac:dyDescent="0.55000000000000004">
      <c r="A156" s="3">
        <v>1238911287</v>
      </c>
      <c r="B156" s="1" t="s">
        <v>12</v>
      </c>
      <c r="C156" s="6">
        <v>29531</v>
      </c>
      <c r="D156" s="6">
        <v>43064</v>
      </c>
      <c r="E156" s="6">
        <v>45609</v>
      </c>
      <c r="F156" s="1" t="s">
        <v>36</v>
      </c>
      <c r="G156" s="2">
        <v>52500</v>
      </c>
      <c r="H156" s="7">
        <v>2</v>
      </c>
      <c r="I156" s="7">
        <v>1</v>
      </c>
      <c r="J156" s="7">
        <v>1</v>
      </c>
      <c r="K156" s="7">
        <v>1</v>
      </c>
      <c r="L156" s="7">
        <v>2</v>
      </c>
    </row>
    <row r="157" spans="1:12" x14ac:dyDescent="0.55000000000000004">
      <c r="A157" s="3">
        <v>1238911289</v>
      </c>
      <c r="B157" s="1" t="s">
        <v>12</v>
      </c>
      <c r="C157" s="6">
        <v>29555</v>
      </c>
      <c r="D157" s="6">
        <v>45063</v>
      </c>
      <c r="E157" s="6"/>
      <c r="F157" s="1" t="s">
        <v>124</v>
      </c>
      <c r="G157" s="2">
        <v>39000</v>
      </c>
      <c r="H157" s="7">
        <v>2</v>
      </c>
      <c r="I157" s="7">
        <v>2</v>
      </c>
      <c r="J157" s="7">
        <v>2</v>
      </c>
      <c r="K157" s="7">
        <v>1</v>
      </c>
      <c r="L157" s="7">
        <v>1</v>
      </c>
    </row>
    <row r="158" spans="1:12" x14ac:dyDescent="0.55000000000000004">
      <c r="A158" s="3">
        <v>1238911290</v>
      </c>
      <c r="B158" s="1" t="s">
        <v>12</v>
      </c>
      <c r="C158" s="6">
        <v>29555</v>
      </c>
      <c r="D158" s="6">
        <v>43451</v>
      </c>
      <c r="E158" s="6"/>
      <c r="F158" s="1" t="s">
        <v>124</v>
      </c>
      <c r="G158" s="2">
        <v>39000</v>
      </c>
      <c r="H158" s="7">
        <v>2</v>
      </c>
      <c r="I158" s="7">
        <v>2</v>
      </c>
      <c r="J158" s="7">
        <v>1</v>
      </c>
      <c r="K158" s="7">
        <v>3</v>
      </c>
      <c r="L158" s="7">
        <v>2</v>
      </c>
    </row>
    <row r="159" spans="1:12" x14ac:dyDescent="0.55000000000000004">
      <c r="A159" s="3">
        <v>1238911293</v>
      </c>
      <c r="B159" s="1" t="s">
        <v>12</v>
      </c>
      <c r="C159" s="6">
        <v>29608</v>
      </c>
      <c r="D159" s="6">
        <v>41159</v>
      </c>
      <c r="E159" s="6"/>
      <c r="F159" s="1" t="s">
        <v>43</v>
      </c>
      <c r="G159" s="2">
        <v>34840</v>
      </c>
      <c r="H159" s="7">
        <v>3</v>
      </c>
      <c r="I159" s="7">
        <v>3</v>
      </c>
      <c r="J159" s="7">
        <v>3</v>
      </c>
      <c r="K159" s="7">
        <v>2</v>
      </c>
      <c r="L159" s="7">
        <v>2</v>
      </c>
    </row>
    <row r="160" spans="1:12" x14ac:dyDescent="0.55000000000000004">
      <c r="A160" s="3">
        <v>1238911294</v>
      </c>
      <c r="B160" s="1" t="s">
        <v>12</v>
      </c>
      <c r="C160" s="6">
        <v>29646</v>
      </c>
      <c r="D160" s="6">
        <v>41640</v>
      </c>
      <c r="E160" s="6"/>
      <c r="F160" s="1" t="s">
        <v>126</v>
      </c>
      <c r="G160" s="2">
        <v>62865.074999999997</v>
      </c>
      <c r="H160" s="7">
        <v>1</v>
      </c>
      <c r="I160" s="7">
        <v>1</v>
      </c>
      <c r="J160" s="7">
        <v>2</v>
      </c>
      <c r="K160" s="7">
        <v>3</v>
      </c>
      <c r="L160" s="7">
        <v>3</v>
      </c>
    </row>
    <row r="161" spans="1:12" x14ac:dyDescent="0.55000000000000004">
      <c r="A161" s="3">
        <v>1238911295</v>
      </c>
      <c r="B161" s="1" t="s">
        <v>12</v>
      </c>
      <c r="C161" s="6">
        <v>29678</v>
      </c>
      <c r="D161" s="6">
        <v>42683</v>
      </c>
      <c r="E161" s="6">
        <v>44066</v>
      </c>
      <c r="F161" s="1" t="s">
        <v>43</v>
      </c>
      <c r="G161" s="2">
        <v>30602</v>
      </c>
      <c r="H161" s="7">
        <v>2</v>
      </c>
      <c r="I161" s="7">
        <v>1</v>
      </c>
      <c r="J161" s="7">
        <v>3</v>
      </c>
      <c r="K161" s="7">
        <v>3</v>
      </c>
      <c r="L161" s="7">
        <v>2</v>
      </c>
    </row>
    <row r="162" spans="1:12" x14ac:dyDescent="0.55000000000000004">
      <c r="A162" s="3">
        <v>1238911298</v>
      </c>
      <c r="B162" s="1" t="s">
        <v>12</v>
      </c>
      <c r="C162" s="6">
        <v>29759</v>
      </c>
      <c r="D162" s="6">
        <v>43611</v>
      </c>
      <c r="E162" s="6"/>
      <c r="F162" s="1" t="s">
        <v>127</v>
      </c>
      <c r="G162" s="2">
        <v>70125</v>
      </c>
      <c r="H162" s="7">
        <v>3</v>
      </c>
      <c r="I162" s="7">
        <v>3</v>
      </c>
      <c r="J162" s="7">
        <v>2</v>
      </c>
      <c r="K162" s="7">
        <v>2</v>
      </c>
      <c r="L162" s="7">
        <v>3</v>
      </c>
    </row>
    <row r="163" spans="1:12" x14ac:dyDescent="0.55000000000000004">
      <c r="A163" s="3">
        <v>1238911299</v>
      </c>
      <c r="B163" s="1" t="s">
        <v>12</v>
      </c>
      <c r="C163" s="6">
        <v>29766</v>
      </c>
      <c r="D163" s="6">
        <v>43643</v>
      </c>
      <c r="E163" s="6">
        <v>43994</v>
      </c>
      <c r="F163" s="1" t="s">
        <v>43</v>
      </c>
      <c r="G163" s="2">
        <v>26520</v>
      </c>
      <c r="H163" s="7">
        <v>2</v>
      </c>
      <c r="I163" s="7">
        <v>1</v>
      </c>
      <c r="J163" s="7">
        <v>3</v>
      </c>
      <c r="K163" s="7">
        <v>3</v>
      </c>
      <c r="L163" s="7">
        <v>3</v>
      </c>
    </row>
    <row r="164" spans="1:12" x14ac:dyDescent="0.55000000000000004">
      <c r="A164" s="3">
        <v>1238911301</v>
      </c>
      <c r="B164" s="1" t="s">
        <v>12</v>
      </c>
      <c r="C164" s="6">
        <v>29859</v>
      </c>
      <c r="D164" s="6">
        <v>41248</v>
      </c>
      <c r="E164" s="6"/>
      <c r="F164" s="1" t="s">
        <v>128</v>
      </c>
      <c r="G164" s="2">
        <v>146372.52499999999</v>
      </c>
      <c r="H164" s="7">
        <v>2</v>
      </c>
      <c r="I164" s="7">
        <v>2</v>
      </c>
      <c r="J164" s="7">
        <v>2</v>
      </c>
      <c r="K164" s="7">
        <v>2</v>
      </c>
      <c r="L164" s="7">
        <v>2</v>
      </c>
    </row>
    <row r="165" spans="1:12" x14ac:dyDescent="0.55000000000000004">
      <c r="A165" s="3">
        <v>1238911306</v>
      </c>
      <c r="B165" s="1" t="s">
        <v>12</v>
      </c>
      <c r="C165" s="6">
        <v>29934</v>
      </c>
      <c r="D165" s="6">
        <v>43417</v>
      </c>
      <c r="E165" s="6"/>
      <c r="F165" s="1" t="s">
        <v>129</v>
      </c>
      <c r="G165" s="2">
        <v>107992.625</v>
      </c>
      <c r="H165" s="7">
        <v>3</v>
      </c>
      <c r="I165" s="7">
        <v>3</v>
      </c>
      <c r="J165" s="7">
        <v>2</v>
      </c>
      <c r="K165" s="7">
        <v>2</v>
      </c>
      <c r="L165" s="7">
        <v>3</v>
      </c>
    </row>
    <row r="166" spans="1:12" x14ac:dyDescent="0.55000000000000004">
      <c r="A166" s="3">
        <v>1238911307</v>
      </c>
      <c r="B166" s="1" t="s">
        <v>12</v>
      </c>
      <c r="C166" s="6">
        <v>30004</v>
      </c>
      <c r="D166" s="6">
        <v>42742</v>
      </c>
      <c r="E166" s="6">
        <v>43461</v>
      </c>
      <c r="F166" s="1" t="s">
        <v>130</v>
      </c>
      <c r="G166" s="2">
        <v>87069.45</v>
      </c>
      <c r="H166" s="7">
        <v>3</v>
      </c>
      <c r="I166" s="7">
        <v>2</v>
      </c>
      <c r="J166" s="7">
        <v>1</v>
      </c>
      <c r="K166" s="7">
        <v>2</v>
      </c>
      <c r="L166" s="7">
        <v>3</v>
      </c>
    </row>
    <row r="167" spans="1:12" x14ac:dyDescent="0.55000000000000004">
      <c r="A167" s="3">
        <v>1238911310</v>
      </c>
      <c r="B167" s="1" t="s">
        <v>12</v>
      </c>
      <c r="C167" s="6">
        <v>30149</v>
      </c>
      <c r="D167" s="6">
        <v>40970</v>
      </c>
      <c r="E167" s="6"/>
      <c r="F167" s="1" t="s">
        <v>43</v>
      </c>
      <c r="G167" s="2">
        <v>26520</v>
      </c>
      <c r="H167" s="7">
        <v>3</v>
      </c>
      <c r="I167" s="7">
        <v>2</v>
      </c>
      <c r="J167" s="7">
        <v>3</v>
      </c>
      <c r="K167" s="7">
        <v>3</v>
      </c>
      <c r="L167" s="7">
        <v>2</v>
      </c>
    </row>
    <row r="168" spans="1:12" x14ac:dyDescent="0.55000000000000004">
      <c r="A168" s="3">
        <v>1238911313</v>
      </c>
      <c r="B168" s="1" t="s">
        <v>12</v>
      </c>
      <c r="C168" s="6">
        <v>30223</v>
      </c>
      <c r="D168" s="6">
        <v>43481</v>
      </c>
      <c r="E168" s="6"/>
      <c r="F168" s="1" t="s">
        <v>36</v>
      </c>
      <c r="G168" s="2">
        <v>73149.7</v>
      </c>
      <c r="H168" s="7">
        <v>1</v>
      </c>
      <c r="I168" s="7">
        <v>1</v>
      </c>
      <c r="J168" s="7">
        <v>3</v>
      </c>
      <c r="K168" s="7">
        <v>1</v>
      </c>
      <c r="L168" s="7">
        <v>2</v>
      </c>
    </row>
    <row r="169" spans="1:12" x14ac:dyDescent="0.55000000000000004">
      <c r="A169" s="3">
        <v>1238911314</v>
      </c>
      <c r="B169" s="1" t="s">
        <v>12</v>
      </c>
      <c r="C169" s="6">
        <v>30233</v>
      </c>
      <c r="D169" s="6">
        <v>41741</v>
      </c>
      <c r="E169" s="6"/>
      <c r="F169" s="1" t="s">
        <v>131</v>
      </c>
      <c r="G169" s="2">
        <v>156250</v>
      </c>
      <c r="H169" s="7">
        <v>3</v>
      </c>
      <c r="I169" s="7">
        <v>3</v>
      </c>
      <c r="J169" s="7">
        <v>3</v>
      </c>
      <c r="K169" s="7">
        <v>2</v>
      </c>
      <c r="L169" s="7">
        <v>2</v>
      </c>
    </row>
    <row r="170" spans="1:12" x14ac:dyDescent="0.55000000000000004">
      <c r="A170" s="3">
        <v>1238911320</v>
      </c>
      <c r="B170" s="1" t="s">
        <v>12</v>
      </c>
      <c r="C170" s="6">
        <v>30310</v>
      </c>
      <c r="D170" s="6">
        <v>44561</v>
      </c>
      <c r="E170" s="6">
        <v>44741</v>
      </c>
      <c r="F170" s="1" t="s">
        <v>133</v>
      </c>
      <c r="G170" s="2">
        <v>32396</v>
      </c>
      <c r="H170" s="7">
        <v>2</v>
      </c>
      <c r="I170" s="7">
        <v>2</v>
      </c>
      <c r="J170" s="7">
        <v>3</v>
      </c>
      <c r="K170" s="7">
        <v>3</v>
      </c>
      <c r="L170" s="7">
        <v>1</v>
      </c>
    </row>
    <row r="171" spans="1:12" x14ac:dyDescent="0.55000000000000004">
      <c r="A171" s="3">
        <v>1238911323</v>
      </c>
      <c r="B171" s="1" t="s">
        <v>12</v>
      </c>
      <c r="C171" s="6">
        <v>30348</v>
      </c>
      <c r="D171" s="6">
        <v>44885</v>
      </c>
      <c r="E171" s="6"/>
      <c r="F171" s="1" t="s">
        <v>134</v>
      </c>
      <c r="G171" s="2">
        <v>68750</v>
      </c>
      <c r="H171" s="7">
        <v>2</v>
      </c>
      <c r="I171" s="7">
        <v>2</v>
      </c>
      <c r="J171" s="7">
        <v>1</v>
      </c>
      <c r="K171" s="7">
        <v>2</v>
      </c>
      <c r="L171" s="7">
        <v>1</v>
      </c>
    </row>
    <row r="172" spans="1:12" x14ac:dyDescent="0.55000000000000004">
      <c r="A172" s="3">
        <v>1238911327</v>
      </c>
      <c r="B172" s="1" t="s">
        <v>12</v>
      </c>
      <c r="C172" s="6">
        <v>30427</v>
      </c>
      <c r="D172" s="6">
        <v>42740</v>
      </c>
      <c r="E172" s="6"/>
      <c r="F172" s="1" t="s">
        <v>135</v>
      </c>
      <c r="G172" s="2">
        <v>112500</v>
      </c>
      <c r="H172" s="7">
        <v>2</v>
      </c>
      <c r="I172" s="7">
        <v>2</v>
      </c>
      <c r="J172" s="7">
        <v>3</v>
      </c>
      <c r="K172" s="7">
        <v>2</v>
      </c>
      <c r="L172" s="7">
        <v>2</v>
      </c>
    </row>
    <row r="173" spans="1:12" x14ac:dyDescent="0.55000000000000004">
      <c r="A173" s="3">
        <v>1238911328</v>
      </c>
      <c r="B173" s="1" t="s">
        <v>12</v>
      </c>
      <c r="C173" s="6">
        <v>30438</v>
      </c>
      <c r="D173" s="6">
        <v>44034</v>
      </c>
      <c r="E173" s="6"/>
      <c r="F173" s="1" t="s">
        <v>136</v>
      </c>
      <c r="G173" s="2">
        <v>90750</v>
      </c>
      <c r="H173" s="7">
        <v>2</v>
      </c>
      <c r="I173" s="7">
        <v>3</v>
      </c>
      <c r="J173" s="7">
        <v>3</v>
      </c>
      <c r="K173" s="7">
        <v>1</v>
      </c>
      <c r="L173" s="7">
        <v>1</v>
      </c>
    </row>
    <row r="174" spans="1:12" x14ac:dyDescent="0.55000000000000004">
      <c r="A174" s="3">
        <v>1238911330</v>
      </c>
      <c r="B174" s="1" t="s">
        <v>12</v>
      </c>
      <c r="C174" s="6">
        <v>30473</v>
      </c>
      <c r="D174" s="6">
        <v>44084</v>
      </c>
      <c r="E174" s="6"/>
      <c r="F174" s="1" t="s">
        <v>13</v>
      </c>
      <c r="G174" s="2">
        <v>36400</v>
      </c>
      <c r="H174" s="7">
        <v>3</v>
      </c>
      <c r="I174" s="7">
        <v>2</v>
      </c>
      <c r="J174" s="7">
        <v>3</v>
      </c>
      <c r="K174" s="7">
        <v>3</v>
      </c>
      <c r="L174" s="7">
        <v>3</v>
      </c>
    </row>
    <row r="175" spans="1:12" x14ac:dyDescent="0.55000000000000004">
      <c r="A175" s="3">
        <v>1238911333</v>
      </c>
      <c r="B175" s="1" t="s">
        <v>12</v>
      </c>
      <c r="C175" s="6">
        <v>30558</v>
      </c>
      <c r="D175" s="6">
        <v>42112</v>
      </c>
      <c r="E175" s="6"/>
      <c r="F175" s="1" t="s">
        <v>68</v>
      </c>
      <c r="G175" s="2">
        <v>68750</v>
      </c>
      <c r="H175" s="7">
        <v>1</v>
      </c>
      <c r="I175" s="7">
        <v>3</v>
      </c>
      <c r="J175" s="7">
        <v>1</v>
      </c>
      <c r="K175" s="7">
        <v>3</v>
      </c>
      <c r="L175" s="7">
        <v>1</v>
      </c>
    </row>
    <row r="176" spans="1:12" x14ac:dyDescent="0.55000000000000004">
      <c r="A176" s="3">
        <v>1238911334</v>
      </c>
      <c r="B176" s="1" t="s">
        <v>12</v>
      </c>
      <c r="C176" s="6">
        <v>30631</v>
      </c>
      <c r="D176" s="6">
        <v>44580</v>
      </c>
      <c r="E176" s="6">
        <v>44805</v>
      </c>
      <c r="F176" s="1" t="s">
        <v>138</v>
      </c>
      <c r="G176" s="2">
        <v>90176.25</v>
      </c>
      <c r="H176" s="7">
        <v>2</v>
      </c>
      <c r="I176" s="7">
        <v>1</v>
      </c>
      <c r="J176" s="7">
        <v>2</v>
      </c>
      <c r="K176" s="7">
        <v>3</v>
      </c>
      <c r="L176" s="7">
        <v>2</v>
      </c>
    </row>
    <row r="177" spans="1:12" x14ac:dyDescent="0.55000000000000004">
      <c r="A177" s="3">
        <v>1238911335</v>
      </c>
      <c r="B177" s="1" t="s">
        <v>12</v>
      </c>
      <c r="C177" s="6">
        <v>30659</v>
      </c>
      <c r="D177" s="6">
        <v>41346</v>
      </c>
      <c r="E177" s="6"/>
      <c r="F177" s="1" t="s">
        <v>139</v>
      </c>
      <c r="G177" s="2">
        <v>112500</v>
      </c>
      <c r="H177" s="7">
        <v>2</v>
      </c>
      <c r="I177" s="7">
        <v>2</v>
      </c>
      <c r="J177" s="7">
        <v>2</v>
      </c>
      <c r="K177" s="7">
        <v>3</v>
      </c>
      <c r="L177" s="7">
        <v>2</v>
      </c>
    </row>
    <row r="178" spans="1:12" x14ac:dyDescent="0.55000000000000004">
      <c r="A178" s="3">
        <v>1238911336</v>
      </c>
      <c r="B178" s="1" t="s">
        <v>12</v>
      </c>
      <c r="C178" s="6">
        <v>30680</v>
      </c>
      <c r="D178" s="6">
        <v>42935</v>
      </c>
      <c r="E178" s="6"/>
      <c r="F178" s="1" t="s">
        <v>25</v>
      </c>
      <c r="G178" s="2">
        <v>26000</v>
      </c>
      <c r="H178" s="7">
        <v>2</v>
      </c>
      <c r="I178" s="7">
        <v>2</v>
      </c>
      <c r="J178" s="7">
        <v>3</v>
      </c>
      <c r="K178" s="7">
        <v>1</v>
      </c>
      <c r="L178" s="7">
        <v>1</v>
      </c>
    </row>
    <row r="179" spans="1:12" x14ac:dyDescent="0.55000000000000004">
      <c r="A179" s="3">
        <v>1238911337</v>
      </c>
      <c r="B179" s="1" t="s">
        <v>12</v>
      </c>
      <c r="C179" s="6">
        <v>30684</v>
      </c>
      <c r="D179" s="6">
        <v>44152</v>
      </c>
      <c r="E179" s="6"/>
      <c r="F179" s="1" t="s">
        <v>43</v>
      </c>
      <c r="G179" s="2">
        <v>31200</v>
      </c>
      <c r="H179" s="7">
        <v>2</v>
      </c>
      <c r="I179" s="7">
        <v>3</v>
      </c>
      <c r="J179" s="7">
        <v>3</v>
      </c>
      <c r="K179" s="7">
        <v>1</v>
      </c>
      <c r="L179" s="7">
        <v>2</v>
      </c>
    </row>
    <row r="180" spans="1:12" x14ac:dyDescent="0.55000000000000004">
      <c r="A180" s="3">
        <v>1238911338</v>
      </c>
      <c r="B180" s="1" t="s">
        <v>12</v>
      </c>
      <c r="C180" s="6">
        <v>30727</v>
      </c>
      <c r="D180" s="6">
        <v>41229</v>
      </c>
      <c r="E180" s="6"/>
      <c r="F180" s="1" t="s">
        <v>140</v>
      </c>
      <c r="G180" s="2">
        <v>76492</v>
      </c>
      <c r="H180" s="7">
        <v>3</v>
      </c>
      <c r="I180" s="7">
        <v>2</v>
      </c>
      <c r="J180" s="7">
        <v>1</v>
      </c>
      <c r="K180" s="7">
        <v>3</v>
      </c>
      <c r="L180" s="7">
        <v>3</v>
      </c>
    </row>
    <row r="181" spans="1:12" x14ac:dyDescent="0.55000000000000004">
      <c r="A181" s="3">
        <v>1238911339</v>
      </c>
      <c r="B181" s="1" t="s">
        <v>12</v>
      </c>
      <c r="C181" s="6">
        <v>30732</v>
      </c>
      <c r="D181" s="6">
        <v>38961</v>
      </c>
      <c r="E181" s="6"/>
      <c r="F181" s="1" t="s">
        <v>107</v>
      </c>
      <c r="G181" s="2">
        <v>35724</v>
      </c>
      <c r="H181" s="7">
        <v>3</v>
      </c>
      <c r="I181" s="7">
        <v>1</v>
      </c>
      <c r="J181" s="7">
        <v>3</v>
      </c>
      <c r="K181" s="7">
        <v>3</v>
      </c>
      <c r="L181" s="7">
        <v>1</v>
      </c>
    </row>
    <row r="182" spans="1:12" x14ac:dyDescent="0.55000000000000004">
      <c r="A182" s="3">
        <v>1238911341</v>
      </c>
      <c r="B182" s="1" t="s">
        <v>12</v>
      </c>
      <c r="C182" s="6">
        <v>30762</v>
      </c>
      <c r="D182" s="6">
        <v>42213</v>
      </c>
      <c r="E182" s="6">
        <v>45392</v>
      </c>
      <c r="F182" s="1" t="s">
        <v>141</v>
      </c>
      <c r="G182" s="2">
        <v>75000</v>
      </c>
      <c r="H182" s="7">
        <v>1</v>
      </c>
      <c r="I182" s="7">
        <v>2</v>
      </c>
      <c r="J182" s="7">
        <v>2</v>
      </c>
      <c r="K182" s="7">
        <v>2</v>
      </c>
      <c r="L182" s="7">
        <v>2</v>
      </c>
    </row>
    <row r="183" spans="1:12" x14ac:dyDescent="0.55000000000000004">
      <c r="A183" s="3">
        <v>1238911342</v>
      </c>
      <c r="B183" s="1" t="s">
        <v>12</v>
      </c>
      <c r="C183" s="6">
        <v>30765</v>
      </c>
      <c r="D183" s="6">
        <v>45798</v>
      </c>
      <c r="E183" s="6"/>
      <c r="F183" s="1" t="s">
        <v>142</v>
      </c>
      <c r="G183" s="2">
        <v>65000</v>
      </c>
      <c r="H183" s="7">
        <v>3</v>
      </c>
      <c r="I183" s="7">
        <v>2</v>
      </c>
      <c r="J183" s="7">
        <v>3</v>
      </c>
      <c r="K183" s="7">
        <v>3</v>
      </c>
      <c r="L183" s="7">
        <v>1</v>
      </c>
    </row>
    <row r="184" spans="1:12" x14ac:dyDescent="0.55000000000000004">
      <c r="A184" s="3">
        <v>1238911343</v>
      </c>
      <c r="B184" s="1" t="s">
        <v>12</v>
      </c>
      <c r="C184" s="6">
        <v>30767</v>
      </c>
      <c r="D184" s="6">
        <v>43092</v>
      </c>
      <c r="E184" s="6"/>
      <c r="F184" s="1" t="s">
        <v>143</v>
      </c>
      <c r="G184" s="2">
        <v>163152.27500000002</v>
      </c>
      <c r="H184" s="7">
        <v>3</v>
      </c>
      <c r="I184" s="7">
        <v>3</v>
      </c>
      <c r="J184" s="7">
        <v>2</v>
      </c>
      <c r="K184" s="7">
        <v>3</v>
      </c>
      <c r="L184" s="7">
        <v>2</v>
      </c>
    </row>
    <row r="185" spans="1:12" x14ac:dyDescent="0.55000000000000004">
      <c r="A185" s="3">
        <v>1238911344</v>
      </c>
      <c r="B185" s="1" t="s">
        <v>12</v>
      </c>
      <c r="C185" s="6">
        <v>30772</v>
      </c>
      <c r="D185" s="6">
        <v>44801</v>
      </c>
      <c r="E185" s="6">
        <v>45007</v>
      </c>
      <c r="F185" s="1" t="s">
        <v>144</v>
      </c>
      <c r="G185" s="2">
        <v>68750</v>
      </c>
      <c r="H185" s="7">
        <v>2</v>
      </c>
      <c r="I185" s="7">
        <v>3</v>
      </c>
      <c r="J185" s="7">
        <v>2</v>
      </c>
      <c r="K185" s="7">
        <v>1</v>
      </c>
      <c r="L185" s="7">
        <v>3</v>
      </c>
    </row>
    <row r="186" spans="1:12" x14ac:dyDescent="0.55000000000000004">
      <c r="A186" s="3">
        <v>1238911345</v>
      </c>
      <c r="B186" s="1" t="s">
        <v>12</v>
      </c>
      <c r="C186" s="6">
        <v>30788</v>
      </c>
      <c r="D186" s="6">
        <v>41304</v>
      </c>
      <c r="E186" s="6"/>
      <c r="F186" s="1" t="s">
        <v>145</v>
      </c>
      <c r="G186" s="2">
        <v>112500</v>
      </c>
      <c r="H186" s="7">
        <v>2</v>
      </c>
      <c r="I186" s="7">
        <v>2</v>
      </c>
      <c r="J186" s="7">
        <v>2</v>
      </c>
      <c r="K186" s="7">
        <v>2</v>
      </c>
      <c r="L186" s="7">
        <v>2</v>
      </c>
    </row>
    <row r="187" spans="1:12" x14ac:dyDescent="0.55000000000000004">
      <c r="A187" s="3">
        <v>1238911347</v>
      </c>
      <c r="B187" s="1" t="s">
        <v>12</v>
      </c>
      <c r="C187" s="6">
        <v>30848</v>
      </c>
      <c r="D187" s="6">
        <v>41220</v>
      </c>
      <c r="E187" s="6"/>
      <c r="F187" s="1" t="s">
        <v>146</v>
      </c>
      <c r="G187" s="2">
        <v>93750</v>
      </c>
      <c r="H187" s="7">
        <v>2</v>
      </c>
      <c r="I187" s="7">
        <v>1</v>
      </c>
      <c r="J187" s="7">
        <v>3</v>
      </c>
      <c r="K187" s="7">
        <v>1</v>
      </c>
      <c r="L187" s="7">
        <v>2</v>
      </c>
    </row>
    <row r="188" spans="1:12" x14ac:dyDescent="0.55000000000000004">
      <c r="A188" s="3">
        <v>1238911348</v>
      </c>
      <c r="B188" s="1" t="s">
        <v>12</v>
      </c>
      <c r="C188" s="6">
        <v>30852</v>
      </c>
      <c r="D188" s="6">
        <v>44456</v>
      </c>
      <c r="E188" s="6"/>
      <c r="F188" s="1" t="s">
        <v>63</v>
      </c>
      <c r="G188" s="2">
        <v>87500</v>
      </c>
      <c r="H188" s="7">
        <v>3</v>
      </c>
      <c r="I188" s="7">
        <v>2</v>
      </c>
      <c r="J188" s="7">
        <v>2</v>
      </c>
      <c r="K188" s="7">
        <v>2</v>
      </c>
      <c r="L188" s="7">
        <v>3</v>
      </c>
    </row>
    <row r="189" spans="1:12" x14ac:dyDescent="0.55000000000000004">
      <c r="A189" s="3">
        <v>1238911351</v>
      </c>
      <c r="B189" s="1" t="s">
        <v>12</v>
      </c>
      <c r="C189" s="6">
        <v>30944</v>
      </c>
      <c r="D189" s="6">
        <v>40986</v>
      </c>
      <c r="E189" s="6">
        <v>45737</v>
      </c>
      <c r="F189" s="1" t="s">
        <v>148</v>
      </c>
      <c r="G189" s="2">
        <v>66187.875</v>
      </c>
      <c r="H189" s="7">
        <v>3</v>
      </c>
      <c r="I189" s="7">
        <v>2</v>
      </c>
      <c r="J189" s="7">
        <v>1</v>
      </c>
      <c r="K189" s="7">
        <v>3</v>
      </c>
      <c r="L189" s="7">
        <v>1</v>
      </c>
    </row>
    <row r="190" spans="1:12" x14ac:dyDescent="0.55000000000000004">
      <c r="A190" s="3">
        <v>1238911353</v>
      </c>
      <c r="B190" s="1" t="s">
        <v>12</v>
      </c>
      <c r="C190" s="6">
        <v>31004</v>
      </c>
      <c r="D190" s="6">
        <v>44232</v>
      </c>
      <c r="E190" s="6"/>
      <c r="F190" s="1" t="s">
        <v>149</v>
      </c>
      <c r="G190" s="2">
        <v>163500.02499999999</v>
      </c>
      <c r="H190" s="7">
        <v>3</v>
      </c>
      <c r="I190" s="7">
        <v>2</v>
      </c>
      <c r="J190" s="7">
        <v>2</v>
      </c>
      <c r="K190" s="7">
        <v>3</v>
      </c>
      <c r="L190" s="7">
        <v>2</v>
      </c>
    </row>
    <row r="191" spans="1:12" x14ac:dyDescent="0.55000000000000004">
      <c r="A191" s="3">
        <v>1238911354</v>
      </c>
      <c r="B191" s="1" t="s">
        <v>12</v>
      </c>
      <c r="C191" s="6">
        <v>31008</v>
      </c>
      <c r="D191" s="6">
        <v>43037</v>
      </c>
      <c r="E191" s="6"/>
      <c r="F191" s="1" t="s">
        <v>150</v>
      </c>
      <c r="G191" s="2">
        <v>162500</v>
      </c>
      <c r="H191" s="7">
        <v>2</v>
      </c>
      <c r="I191" s="7">
        <v>2</v>
      </c>
      <c r="J191" s="7">
        <v>2</v>
      </c>
      <c r="K191" s="7">
        <v>3</v>
      </c>
      <c r="L191" s="7">
        <v>2</v>
      </c>
    </row>
    <row r="192" spans="1:12" x14ac:dyDescent="0.55000000000000004">
      <c r="A192" s="3">
        <v>1238911355</v>
      </c>
      <c r="B192" s="1" t="s">
        <v>12</v>
      </c>
      <c r="C192" s="6">
        <v>31042</v>
      </c>
      <c r="D192" s="6">
        <v>44776</v>
      </c>
      <c r="E192" s="6"/>
      <c r="F192" s="1" t="s">
        <v>151</v>
      </c>
      <c r="G192" s="2">
        <v>105708.85</v>
      </c>
      <c r="H192" s="7">
        <v>2</v>
      </c>
      <c r="I192" s="7">
        <v>3</v>
      </c>
      <c r="J192" s="7">
        <v>2</v>
      </c>
      <c r="K192" s="7">
        <v>3</v>
      </c>
      <c r="L192" s="7">
        <v>2</v>
      </c>
    </row>
    <row r="193" spans="1:12" x14ac:dyDescent="0.55000000000000004">
      <c r="A193" s="3">
        <v>1238911356</v>
      </c>
      <c r="B193" s="1" t="s">
        <v>12</v>
      </c>
      <c r="C193" s="6">
        <v>31117</v>
      </c>
      <c r="D193" s="6">
        <v>41505</v>
      </c>
      <c r="E193" s="6"/>
      <c r="F193" s="1" t="s">
        <v>152</v>
      </c>
      <c r="G193" s="2">
        <v>221063.69999999998</v>
      </c>
      <c r="H193" s="7">
        <v>2</v>
      </c>
      <c r="I193" s="7">
        <v>3</v>
      </c>
      <c r="J193" s="7">
        <v>2</v>
      </c>
      <c r="K193" s="7">
        <v>2</v>
      </c>
      <c r="L193" s="7">
        <v>3</v>
      </c>
    </row>
    <row r="194" spans="1:12" x14ac:dyDescent="0.55000000000000004">
      <c r="A194" s="3">
        <v>1238911357</v>
      </c>
      <c r="B194" s="1" t="s">
        <v>12</v>
      </c>
      <c r="C194" s="6">
        <v>31121</v>
      </c>
      <c r="D194" s="6">
        <v>44319</v>
      </c>
      <c r="E194" s="6">
        <v>44559</v>
      </c>
      <c r="F194" s="1" t="s">
        <v>153</v>
      </c>
      <c r="G194" s="2">
        <v>75000</v>
      </c>
      <c r="H194" s="7">
        <v>2</v>
      </c>
      <c r="I194" s="7">
        <v>2</v>
      </c>
      <c r="J194" s="7">
        <v>3</v>
      </c>
      <c r="K194" s="7">
        <v>2</v>
      </c>
      <c r="L194" s="7">
        <v>3</v>
      </c>
    </row>
    <row r="195" spans="1:12" x14ac:dyDescent="0.55000000000000004">
      <c r="A195" s="3">
        <v>1238911358</v>
      </c>
      <c r="B195" s="1" t="s">
        <v>12</v>
      </c>
      <c r="C195" s="6">
        <v>31151</v>
      </c>
      <c r="D195" s="6">
        <v>40929</v>
      </c>
      <c r="E195" s="6"/>
      <c r="F195" s="1" t="s">
        <v>154</v>
      </c>
      <c r="G195" s="2">
        <v>53055.275000000001</v>
      </c>
      <c r="H195" s="7">
        <v>2</v>
      </c>
      <c r="I195" s="7">
        <v>2</v>
      </c>
      <c r="J195" s="7">
        <v>3</v>
      </c>
      <c r="K195" s="7">
        <v>2</v>
      </c>
      <c r="L195" s="7">
        <v>1</v>
      </c>
    </row>
    <row r="196" spans="1:12" x14ac:dyDescent="0.55000000000000004">
      <c r="A196" s="3">
        <v>1238911359</v>
      </c>
      <c r="B196" s="1" t="s">
        <v>12</v>
      </c>
      <c r="C196" s="6">
        <v>31170</v>
      </c>
      <c r="D196" s="6">
        <v>42073</v>
      </c>
      <c r="E196" s="6"/>
      <c r="F196" s="1" t="s">
        <v>155</v>
      </c>
      <c r="G196" s="2">
        <v>343331.95</v>
      </c>
      <c r="H196" s="7">
        <v>3</v>
      </c>
      <c r="I196" s="7">
        <v>2</v>
      </c>
      <c r="J196" s="7">
        <v>3</v>
      </c>
      <c r="K196" s="7">
        <v>2</v>
      </c>
      <c r="L196" s="7">
        <v>3</v>
      </c>
    </row>
    <row r="197" spans="1:12" x14ac:dyDescent="0.55000000000000004">
      <c r="A197" s="3">
        <v>1238911360</v>
      </c>
      <c r="B197" s="1" t="s">
        <v>12</v>
      </c>
      <c r="C197" s="6">
        <v>31173</v>
      </c>
      <c r="D197" s="6">
        <v>44019</v>
      </c>
      <c r="E197" s="6"/>
      <c r="F197" s="1" t="s">
        <v>156</v>
      </c>
      <c r="G197" s="2">
        <v>50000</v>
      </c>
      <c r="H197" s="7">
        <v>3</v>
      </c>
      <c r="I197" s="7">
        <v>3</v>
      </c>
      <c r="J197" s="7">
        <v>2</v>
      </c>
      <c r="K197" s="7">
        <v>3</v>
      </c>
      <c r="L197" s="7">
        <v>1</v>
      </c>
    </row>
    <row r="198" spans="1:12" x14ac:dyDescent="0.55000000000000004">
      <c r="A198" s="3">
        <v>1238911361</v>
      </c>
      <c r="B198" s="1" t="s">
        <v>12</v>
      </c>
      <c r="C198" s="6">
        <v>31247</v>
      </c>
      <c r="D198" s="6">
        <v>42204</v>
      </c>
      <c r="E198" s="6"/>
      <c r="F198" s="1" t="s">
        <v>157</v>
      </c>
      <c r="G198" s="2">
        <v>101504</v>
      </c>
      <c r="H198" s="7">
        <v>2</v>
      </c>
      <c r="I198" s="7">
        <v>3</v>
      </c>
      <c r="J198" s="7">
        <v>2</v>
      </c>
      <c r="K198" s="7">
        <v>2</v>
      </c>
      <c r="L198" s="7">
        <v>3</v>
      </c>
    </row>
    <row r="199" spans="1:12" x14ac:dyDescent="0.55000000000000004">
      <c r="A199" s="3">
        <v>1238911362</v>
      </c>
      <c r="B199" s="1" t="s">
        <v>12</v>
      </c>
      <c r="C199" s="6">
        <v>31255</v>
      </c>
      <c r="D199" s="6">
        <v>42649</v>
      </c>
      <c r="E199" s="6"/>
      <c r="F199" s="1" t="s">
        <v>158</v>
      </c>
      <c r="G199" s="2">
        <v>182000</v>
      </c>
      <c r="H199" s="7">
        <v>3</v>
      </c>
      <c r="I199" s="7">
        <v>2</v>
      </c>
      <c r="J199" s="7">
        <v>2</v>
      </c>
      <c r="K199" s="7">
        <v>3</v>
      </c>
      <c r="L199" s="7">
        <v>3</v>
      </c>
    </row>
    <row r="200" spans="1:12" x14ac:dyDescent="0.55000000000000004">
      <c r="A200" s="3">
        <v>1238911363</v>
      </c>
      <c r="B200" s="1" t="s">
        <v>12</v>
      </c>
      <c r="C200" s="6">
        <v>31275</v>
      </c>
      <c r="D200" s="6">
        <v>43404</v>
      </c>
      <c r="E200" s="6">
        <v>45234</v>
      </c>
      <c r="F200" s="1" t="s">
        <v>91</v>
      </c>
      <c r="G200" s="2">
        <v>47337.9375</v>
      </c>
      <c r="H200" s="7">
        <v>1</v>
      </c>
      <c r="I200" s="7">
        <v>2</v>
      </c>
      <c r="J200" s="7">
        <v>1</v>
      </c>
      <c r="K200" s="7">
        <v>3</v>
      </c>
      <c r="L200" s="7">
        <v>1</v>
      </c>
    </row>
    <row r="201" spans="1:12" x14ac:dyDescent="0.55000000000000004">
      <c r="A201" s="3">
        <v>1238911364</v>
      </c>
      <c r="B201" s="1" t="s">
        <v>12</v>
      </c>
      <c r="C201" s="6">
        <v>31275</v>
      </c>
      <c r="D201" s="6">
        <v>41738</v>
      </c>
      <c r="E201" s="6"/>
      <c r="F201" s="1" t="s">
        <v>159</v>
      </c>
      <c r="G201" s="2">
        <v>111168.85</v>
      </c>
      <c r="H201" s="7">
        <v>2</v>
      </c>
      <c r="I201" s="7">
        <v>3</v>
      </c>
      <c r="J201" s="7">
        <v>2</v>
      </c>
      <c r="K201" s="7">
        <v>2</v>
      </c>
      <c r="L201" s="7">
        <v>2</v>
      </c>
    </row>
    <row r="202" spans="1:12" x14ac:dyDescent="0.55000000000000004">
      <c r="A202" s="3">
        <v>1238911365</v>
      </c>
      <c r="B202" s="1" t="s">
        <v>12</v>
      </c>
      <c r="C202" s="6">
        <v>31290</v>
      </c>
      <c r="D202" s="6">
        <v>43795</v>
      </c>
      <c r="E202" s="6"/>
      <c r="F202" s="1" t="s">
        <v>160</v>
      </c>
      <c r="G202" s="2">
        <v>100000</v>
      </c>
      <c r="H202" s="7">
        <v>3</v>
      </c>
      <c r="I202" s="7">
        <v>3</v>
      </c>
      <c r="J202" s="7">
        <v>2</v>
      </c>
      <c r="K202" s="7">
        <v>2</v>
      </c>
      <c r="L202" s="7">
        <v>2</v>
      </c>
    </row>
    <row r="203" spans="1:12" x14ac:dyDescent="0.55000000000000004">
      <c r="A203" s="3">
        <v>1238911366</v>
      </c>
      <c r="B203" s="1" t="s">
        <v>12</v>
      </c>
      <c r="C203" s="6">
        <v>31298</v>
      </c>
      <c r="D203" s="6">
        <v>43006</v>
      </c>
      <c r="E203" s="6"/>
      <c r="F203" s="1" t="s">
        <v>161</v>
      </c>
      <c r="G203" s="2">
        <v>112500</v>
      </c>
      <c r="H203" s="7">
        <v>2</v>
      </c>
      <c r="I203" s="7">
        <v>3</v>
      </c>
      <c r="J203" s="7">
        <v>2</v>
      </c>
      <c r="K203" s="7">
        <v>2</v>
      </c>
      <c r="L203" s="7">
        <v>3</v>
      </c>
    </row>
    <row r="204" spans="1:12" x14ac:dyDescent="0.55000000000000004">
      <c r="A204" s="3">
        <v>1238911367</v>
      </c>
      <c r="B204" s="1" t="s">
        <v>12</v>
      </c>
      <c r="C204" s="6">
        <v>31304</v>
      </c>
      <c r="D204" s="6">
        <v>41934</v>
      </c>
      <c r="E204" s="6">
        <v>45721</v>
      </c>
      <c r="F204" s="1" t="s">
        <v>19</v>
      </c>
      <c r="G204" s="2">
        <v>62500</v>
      </c>
      <c r="H204" s="7">
        <v>1</v>
      </c>
      <c r="I204" s="7">
        <v>2</v>
      </c>
      <c r="J204" s="7">
        <v>3</v>
      </c>
      <c r="K204" s="7">
        <v>1</v>
      </c>
      <c r="L204" s="7">
        <v>3</v>
      </c>
    </row>
    <row r="205" spans="1:12" x14ac:dyDescent="0.55000000000000004">
      <c r="A205" s="3">
        <v>1238911368</v>
      </c>
      <c r="B205" s="1" t="s">
        <v>12</v>
      </c>
      <c r="C205" s="6">
        <v>31305</v>
      </c>
      <c r="D205" s="6">
        <v>41461</v>
      </c>
      <c r="E205" s="6"/>
      <c r="F205" s="1" t="s">
        <v>45</v>
      </c>
      <c r="G205" s="2">
        <v>59124</v>
      </c>
      <c r="H205" s="7">
        <v>3</v>
      </c>
      <c r="I205" s="7">
        <v>3</v>
      </c>
      <c r="J205" s="7">
        <v>1</v>
      </c>
      <c r="K205" s="7">
        <v>3</v>
      </c>
      <c r="L205" s="7">
        <v>1</v>
      </c>
    </row>
    <row r="206" spans="1:12" x14ac:dyDescent="0.55000000000000004">
      <c r="A206" s="3">
        <v>1238911369</v>
      </c>
      <c r="B206" s="1" t="s">
        <v>12</v>
      </c>
      <c r="C206" s="6">
        <v>31305</v>
      </c>
      <c r="D206" s="6">
        <v>43991</v>
      </c>
      <c r="E206" s="6"/>
      <c r="F206" s="1" t="s">
        <v>45</v>
      </c>
      <c r="G206" s="2">
        <v>59124</v>
      </c>
      <c r="H206" s="7">
        <v>1</v>
      </c>
      <c r="I206" s="7">
        <v>2</v>
      </c>
      <c r="J206" s="7">
        <v>1</v>
      </c>
      <c r="K206" s="7">
        <v>2</v>
      </c>
      <c r="L206" s="7">
        <v>1</v>
      </c>
    </row>
    <row r="207" spans="1:12" x14ac:dyDescent="0.55000000000000004">
      <c r="A207" s="3">
        <v>1238911370</v>
      </c>
      <c r="B207" s="1" t="s">
        <v>12</v>
      </c>
      <c r="C207" s="6">
        <v>31335</v>
      </c>
      <c r="D207" s="6">
        <v>42224</v>
      </c>
      <c r="E207" s="6"/>
      <c r="F207" s="1" t="s">
        <v>63</v>
      </c>
      <c r="G207" s="2">
        <v>92500</v>
      </c>
      <c r="H207" s="7">
        <v>3</v>
      </c>
      <c r="I207" s="7">
        <v>3</v>
      </c>
      <c r="J207" s="7">
        <v>2</v>
      </c>
      <c r="K207" s="7">
        <v>2</v>
      </c>
      <c r="L207" s="7">
        <v>3</v>
      </c>
    </row>
    <row r="208" spans="1:12" x14ac:dyDescent="0.55000000000000004">
      <c r="A208" s="3">
        <v>1238911373</v>
      </c>
      <c r="B208" s="1" t="s">
        <v>12</v>
      </c>
      <c r="C208" s="6">
        <v>31348</v>
      </c>
      <c r="D208" s="6">
        <v>41754</v>
      </c>
      <c r="E208" s="6">
        <v>42513</v>
      </c>
      <c r="F208" s="1" t="s">
        <v>162</v>
      </c>
      <c r="G208" s="2">
        <v>101998</v>
      </c>
      <c r="H208" s="7">
        <v>3</v>
      </c>
      <c r="I208" s="7">
        <v>3</v>
      </c>
      <c r="J208" s="7">
        <v>3</v>
      </c>
      <c r="K208" s="7">
        <v>3</v>
      </c>
      <c r="L208" s="7">
        <v>2</v>
      </c>
    </row>
    <row r="209" spans="1:12" x14ac:dyDescent="0.55000000000000004">
      <c r="A209" s="3">
        <v>1238911375</v>
      </c>
      <c r="B209" s="1" t="s">
        <v>12</v>
      </c>
      <c r="C209" s="6">
        <v>31437</v>
      </c>
      <c r="D209" s="6">
        <v>41752</v>
      </c>
      <c r="E209" s="6"/>
      <c r="F209" s="1" t="s">
        <v>83</v>
      </c>
      <c r="G209" s="2">
        <v>115260.925</v>
      </c>
      <c r="H209" s="7">
        <v>3</v>
      </c>
      <c r="I209" s="7">
        <v>2</v>
      </c>
      <c r="J209" s="7">
        <v>3</v>
      </c>
      <c r="K209" s="7">
        <v>2</v>
      </c>
      <c r="L209" s="7">
        <v>2</v>
      </c>
    </row>
    <row r="210" spans="1:12" x14ac:dyDescent="0.55000000000000004">
      <c r="A210" s="3">
        <v>1238911377</v>
      </c>
      <c r="B210" s="1" t="s">
        <v>12</v>
      </c>
      <c r="C210" s="6">
        <v>31463</v>
      </c>
      <c r="D210" s="6">
        <v>42296</v>
      </c>
      <c r="E210" s="6"/>
      <c r="F210" s="1" t="s">
        <v>164</v>
      </c>
      <c r="G210" s="2">
        <v>117500</v>
      </c>
      <c r="H210" s="7">
        <v>2</v>
      </c>
      <c r="I210" s="7">
        <v>2</v>
      </c>
      <c r="J210" s="7">
        <v>3</v>
      </c>
      <c r="K210" s="7">
        <v>3</v>
      </c>
      <c r="L210" s="7">
        <v>2</v>
      </c>
    </row>
    <row r="211" spans="1:12" x14ac:dyDescent="0.55000000000000004">
      <c r="A211" s="3">
        <v>1238911378</v>
      </c>
      <c r="B211" s="1" t="s">
        <v>12</v>
      </c>
      <c r="C211" s="6">
        <v>31507</v>
      </c>
      <c r="D211" s="6">
        <v>41184</v>
      </c>
      <c r="E211" s="6"/>
      <c r="F211" s="1" t="s">
        <v>165</v>
      </c>
      <c r="G211" s="2">
        <v>53768</v>
      </c>
      <c r="H211" s="7">
        <v>2</v>
      </c>
      <c r="I211" s="7">
        <v>1</v>
      </c>
      <c r="J211" s="7">
        <v>2</v>
      </c>
      <c r="K211" s="7">
        <v>1</v>
      </c>
      <c r="L211" s="7">
        <v>1</v>
      </c>
    </row>
    <row r="212" spans="1:12" x14ac:dyDescent="0.55000000000000004">
      <c r="A212" s="3">
        <v>1238911379</v>
      </c>
      <c r="B212" s="1" t="s">
        <v>12</v>
      </c>
      <c r="C212" s="6">
        <v>31622</v>
      </c>
      <c r="D212" s="6">
        <v>44369</v>
      </c>
      <c r="E212" s="6"/>
      <c r="F212" s="1" t="s">
        <v>162</v>
      </c>
      <c r="G212" s="2">
        <v>100000</v>
      </c>
      <c r="H212" s="7">
        <v>3</v>
      </c>
      <c r="I212" s="7">
        <v>2</v>
      </c>
      <c r="J212" s="7">
        <v>2</v>
      </c>
      <c r="K212" s="7">
        <v>2</v>
      </c>
      <c r="L212" s="7">
        <v>2</v>
      </c>
    </row>
    <row r="213" spans="1:12" x14ac:dyDescent="0.55000000000000004">
      <c r="A213" s="3">
        <v>1238911382</v>
      </c>
      <c r="B213" s="1" t="s">
        <v>12</v>
      </c>
      <c r="C213" s="6">
        <v>31722</v>
      </c>
      <c r="D213" s="6">
        <v>42998</v>
      </c>
      <c r="E213" s="6"/>
      <c r="F213" s="1" t="s">
        <v>68</v>
      </c>
      <c r="G213" s="2">
        <v>56237.5</v>
      </c>
      <c r="H213" s="7">
        <v>3</v>
      </c>
      <c r="I213" s="7">
        <v>3</v>
      </c>
      <c r="J213" s="7">
        <v>1</v>
      </c>
      <c r="K213" s="7">
        <v>1</v>
      </c>
      <c r="L213" s="7">
        <v>1</v>
      </c>
    </row>
    <row r="214" spans="1:12" x14ac:dyDescent="0.55000000000000004">
      <c r="A214" s="3">
        <v>1238911383</v>
      </c>
      <c r="B214" s="1" t="s">
        <v>12</v>
      </c>
      <c r="C214" s="6">
        <v>31728</v>
      </c>
      <c r="D214" s="6">
        <v>41745</v>
      </c>
      <c r="E214" s="6"/>
      <c r="F214" s="1" t="s">
        <v>63</v>
      </c>
      <c r="G214" s="2">
        <v>68750</v>
      </c>
      <c r="H214" s="7">
        <v>2</v>
      </c>
      <c r="I214" s="7">
        <v>2</v>
      </c>
      <c r="J214" s="7">
        <v>3</v>
      </c>
      <c r="K214" s="7">
        <v>2</v>
      </c>
      <c r="L214" s="7">
        <v>2</v>
      </c>
    </row>
    <row r="215" spans="1:12" x14ac:dyDescent="0.55000000000000004">
      <c r="A215" s="3">
        <v>1238911384</v>
      </c>
      <c r="B215" s="1" t="s">
        <v>12</v>
      </c>
      <c r="C215" s="6">
        <v>31747</v>
      </c>
      <c r="D215" s="6">
        <v>41627</v>
      </c>
      <c r="E215" s="6"/>
      <c r="F215" s="1" t="s">
        <v>167</v>
      </c>
      <c r="G215" s="2">
        <v>68750</v>
      </c>
      <c r="H215" s="7">
        <v>1</v>
      </c>
      <c r="I215" s="7">
        <v>1</v>
      </c>
      <c r="J215" s="7">
        <v>1</v>
      </c>
      <c r="K215" s="7">
        <v>3</v>
      </c>
      <c r="L215" s="7">
        <v>2</v>
      </c>
    </row>
    <row r="216" spans="1:12" x14ac:dyDescent="0.55000000000000004">
      <c r="A216" s="3">
        <v>1238911386</v>
      </c>
      <c r="B216" s="1" t="s">
        <v>12</v>
      </c>
      <c r="C216" s="6">
        <v>31774</v>
      </c>
      <c r="D216" s="6">
        <v>41413</v>
      </c>
      <c r="E216" s="6"/>
      <c r="F216" s="1" t="s">
        <v>63</v>
      </c>
      <c r="G216" s="2">
        <v>87500</v>
      </c>
      <c r="H216" s="7">
        <v>3</v>
      </c>
      <c r="I216" s="7">
        <v>2</v>
      </c>
      <c r="J216" s="7">
        <v>3</v>
      </c>
      <c r="K216" s="7">
        <v>2</v>
      </c>
      <c r="L216" s="7">
        <v>1</v>
      </c>
    </row>
    <row r="217" spans="1:12" x14ac:dyDescent="0.55000000000000004">
      <c r="A217" s="3">
        <v>1238911387</v>
      </c>
      <c r="B217" s="1" t="s">
        <v>12</v>
      </c>
      <c r="C217" s="6">
        <v>31785</v>
      </c>
      <c r="D217" s="6">
        <v>41867</v>
      </c>
      <c r="E217" s="6">
        <v>44963</v>
      </c>
      <c r="F217" s="1" t="s">
        <v>169</v>
      </c>
      <c r="G217" s="2">
        <v>88750</v>
      </c>
      <c r="H217" s="7">
        <v>3</v>
      </c>
      <c r="I217" s="7">
        <v>1</v>
      </c>
      <c r="J217" s="7">
        <v>3</v>
      </c>
      <c r="K217" s="7">
        <v>2</v>
      </c>
      <c r="L217" s="7">
        <v>2</v>
      </c>
    </row>
    <row r="218" spans="1:12" x14ac:dyDescent="0.55000000000000004">
      <c r="A218" s="3">
        <v>1238911388</v>
      </c>
      <c r="B218" s="1" t="s">
        <v>12</v>
      </c>
      <c r="C218" s="6">
        <v>31785</v>
      </c>
      <c r="D218" s="6">
        <v>41142</v>
      </c>
      <c r="E218" s="6"/>
      <c r="F218" s="1" t="s">
        <v>169</v>
      </c>
      <c r="G218" s="2">
        <v>88750</v>
      </c>
      <c r="H218" s="7">
        <v>2</v>
      </c>
      <c r="I218" s="7">
        <v>3</v>
      </c>
      <c r="J218" s="7">
        <v>3</v>
      </c>
      <c r="K218" s="7">
        <v>3</v>
      </c>
      <c r="L218" s="7">
        <v>1</v>
      </c>
    </row>
    <row r="219" spans="1:12" x14ac:dyDescent="0.55000000000000004">
      <c r="A219" s="3">
        <v>1238911390</v>
      </c>
      <c r="B219" s="1" t="s">
        <v>12</v>
      </c>
      <c r="C219" s="6">
        <v>31818</v>
      </c>
      <c r="D219" s="6">
        <v>43683</v>
      </c>
      <c r="E219" s="6">
        <v>45030</v>
      </c>
      <c r="F219" s="1" t="s">
        <v>171</v>
      </c>
      <c r="G219" s="2">
        <v>55567.524999999994</v>
      </c>
      <c r="H219" s="7">
        <v>3</v>
      </c>
      <c r="I219" s="7">
        <v>2</v>
      </c>
      <c r="J219" s="7">
        <v>2</v>
      </c>
      <c r="K219" s="7">
        <v>3</v>
      </c>
      <c r="L219" s="7">
        <v>2</v>
      </c>
    </row>
    <row r="220" spans="1:12" x14ac:dyDescent="0.55000000000000004">
      <c r="A220" s="3">
        <v>1238911392</v>
      </c>
      <c r="B220" s="1" t="s">
        <v>12</v>
      </c>
      <c r="C220" s="6">
        <v>31838</v>
      </c>
      <c r="D220" s="6">
        <v>41248</v>
      </c>
      <c r="E220" s="6"/>
      <c r="F220" s="1" t="s">
        <v>173</v>
      </c>
      <c r="G220" s="2">
        <v>101999.95000000001</v>
      </c>
      <c r="H220" s="7">
        <v>2</v>
      </c>
      <c r="I220" s="7">
        <v>2</v>
      </c>
      <c r="J220" s="7">
        <v>2</v>
      </c>
      <c r="K220" s="7">
        <v>3</v>
      </c>
      <c r="L220" s="7">
        <v>2</v>
      </c>
    </row>
    <row r="221" spans="1:12" x14ac:dyDescent="0.55000000000000004">
      <c r="A221" s="3">
        <v>1238911395</v>
      </c>
      <c r="B221" s="1" t="s">
        <v>12</v>
      </c>
      <c r="C221" s="6">
        <v>31921</v>
      </c>
      <c r="D221" s="6">
        <v>45177</v>
      </c>
      <c r="E221" s="6"/>
      <c r="F221" s="1" t="s">
        <v>140</v>
      </c>
      <c r="G221" s="2">
        <v>87500</v>
      </c>
      <c r="H221" s="7">
        <v>1</v>
      </c>
      <c r="I221" s="7">
        <v>3</v>
      </c>
      <c r="J221" s="7">
        <v>3</v>
      </c>
      <c r="K221" s="7">
        <v>2</v>
      </c>
      <c r="L221" s="7">
        <v>1</v>
      </c>
    </row>
    <row r="222" spans="1:12" x14ac:dyDescent="0.55000000000000004">
      <c r="A222" s="3">
        <v>1238911397</v>
      </c>
      <c r="B222" s="1" t="s">
        <v>12</v>
      </c>
      <c r="C222" s="6">
        <v>31955</v>
      </c>
      <c r="D222" s="6">
        <v>41825</v>
      </c>
      <c r="E222" s="6"/>
      <c r="F222" s="1" t="s">
        <v>99</v>
      </c>
      <c r="G222" s="2">
        <v>125115.25</v>
      </c>
      <c r="H222" s="7">
        <v>3</v>
      </c>
      <c r="I222" s="7">
        <v>2</v>
      </c>
      <c r="J222" s="7">
        <v>3</v>
      </c>
      <c r="K222" s="7">
        <v>3</v>
      </c>
      <c r="L222" s="7">
        <v>3</v>
      </c>
    </row>
    <row r="223" spans="1:12" x14ac:dyDescent="0.55000000000000004">
      <c r="A223" s="3">
        <v>1238911398</v>
      </c>
      <c r="B223" s="1" t="s">
        <v>12</v>
      </c>
      <c r="C223" s="6">
        <v>31958</v>
      </c>
      <c r="D223" s="6">
        <v>41710</v>
      </c>
      <c r="E223" s="6"/>
      <c r="F223" s="1" t="s">
        <v>177</v>
      </c>
      <c r="G223" s="2">
        <v>98099.625</v>
      </c>
      <c r="H223" s="7">
        <v>1</v>
      </c>
      <c r="I223" s="7">
        <v>3</v>
      </c>
      <c r="J223" s="7">
        <v>3</v>
      </c>
      <c r="K223" s="7">
        <v>3</v>
      </c>
      <c r="L223" s="7">
        <v>3</v>
      </c>
    </row>
    <row r="224" spans="1:12" x14ac:dyDescent="0.55000000000000004">
      <c r="A224" s="3">
        <v>1238911399</v>
      </c>
      <c r="B224" s="1" t="s">
        <v>12</v>
      </c>
      <c r="C224" s="6">
        <v>31966</v>
      </c>
      <c r="D224" s="6">
        <v>41990</v>
      </c>
      <c r="E224" s="6"/>
      <c r="F224" s="1" t="s">
        <v>178</v>
      </c>
      <c r="G224" s="2">
        <v>78216.25</v>
      </c>
      <c r="H224" s="7">
        <v>1</v>
      </c>
      <c r="I224" s="7">
        <v>3</v>
      </c>
      <c r="J224" s="7">
        <v>1</v>
      </c>
      <c r="K224" s="7">
        <v>3</v>
      </c>
      <c r="L224" s="7">
        <v>3</v>
      </c>
    </row>
    <row r="225" spans="1:12" x14ac:dyDescent="0.55000000000000004">
      <c r="A225" s="3">
        <v>1238911400</v>
      </c>
      <c r="B225" s="1" t="s">
        <v>12</v>
      </c>
      <c r="C225" s="6">
        <v>31971</v>
      </c>
      <c r="D225" s="6">
        <v>43756</v>
      </c>
      <c r="E225" s="6"/>
      <c r="F225" s="1" t="s">
        <v>179</v>
      </c>
      <c r="G225" s="2">
        <v>50654.824999999997</v>
      </c>
      <c r="H225" s="7">
        <v>2</v>
      </c>
      <c r="I225" s="7">
        <v>2</v>
      </c>
      <c r="J225" s="7">
        <v>1</v>
      </c>
      <c r="K225" s="7">
        <v>3</v>
      </c>
      <c r="L225" s="7">
        <v>3</v>
      </c>
    </row>
    <row r="226" spans="1:12" x14ac:dyDescent="0.55000000000000004">
      <c r="A226" s="3">
        <v>1238911401</v>
      </c>
      <c r="B226" s="1" t="s">
        <v>12</v>
      </c>
      <c r="C226" s="6">
        <v>31985</v>
      </c>
      <c r="D226" s="6">
        <v>41277</v>
      </c>
      <c r="E226" s="6"/>
      <c r="F226" s="1" t="s">
        <v>180</v>
      </c>
      <c r="G226" s="2">
        <v>75000</v>
      </c>
      <c r="H226" s="7">
        <v>1</v>
      </c>
      <c r="I226" s="7">
        <v>2</v>
      </c>
      <c r="J226" s="7">
        <v>1</v>
      </c>
      <c r="K226" s="7">
        <v>1</v>
      </c>
      <c r="L226" s="7">
        <v>2</v>
      </c>
    </row>
    <row r="227" spans="1:12" x14ac:dyDescent="0.55000000000000004">
      <c r="A227" s="3">
        <v>1238911402</v>
      </c>
      <c r="B227" s="1" t="s">
        <v>12</v>
      </c>
      <c r="C227" s="6">
        <v>31994</v>
      </c>
      <c r="D227" s="6">
        <v>41053</v>
      </c>
      <c r="E227" s="6">
        <v>43222</v>
      </c>
      <c r="F227" s="1" t="s">
        <v>74</v>
      </c>
      <c r="G227" s="2">
        <v>47814</v>
      </c>
      <c r="H227" s="7">
        <v>1</v>
      </c>
      <c r="I227" s="7">
        <v>3</v>
      </c>
      <c r="J227" s="7">
        <v>3</v>
      </c>
      <c r="K227" s="7">
        <v>1</v>
      </c>
      <c r="L227" s="7">
        <v>1</v>
      </c>
    </row>
    <row r="228" spans="1:12" x14ac:dyDescent="0.55000000000000004">
      <c r="A228" s="3">
        <v>1238911403</v>
      </c>
      <c r="B228" s="1" t="s">
        <v>12</v>
      </c>
      <c r="C228" s="6">
        <v>32004</v>
      </c>
      <c r="D228" s="6">
        <v>43503</v>
      </c>
      <c r="E228" s="6">
        <v>45238</v>
      </c>
      <c r="F228" s="1" t="s">
        <v>181</v>
      </c>
      <c r="G228" s="2">
        <v>87500</v>
      </c>
      <c r="H228" s="7">
        <v>1</v>
      </c>
      <c r="I228" s="7">
        <v>3</v>
      </c>
      <c r="J228" s="7">
        <v>3</v>
      </c>
      <c r="K228" s="7">
        <v>1</v>
      </c>
      <c r="L228" s="7">
        <v>2</v>
      </c>
    </row>
    <row r="229" spans="1:12" x14ac:dyDescent="0.55000000000000004">
      <c r="A229" s="3">
        <v>1238911409</v>
      </c>
      <c r="B229" s="1" t="s">
        <v>12</v>
      </c>
      <c r="C229" s="6">
        <v>32142</v>
      </c>
      <c r="D229" s="6">
        <v>41779</v>
      </c>
      <c r="E229" s="6"/>
      <c r="F229" s="1" t="s">
        <v>63</v>
      </c>
      <c r="G229" s="2">
        <v>82468.75</v>
      </c>
      <c r="H229" s="7">
        <v>3</v>
      </c>
      <c r="I229" s="7">
        <v>3</v>
      </c>
      <c r="J229" s="7">
        <v>2</v>
      </c>
      <c r="K229" s="7">
        <v>2</v>
      </c>
      <c r="L229" s="7">
        <v>1</v>
      </c>
    </row>
    <row r="230" spans="1:12" x14ac:dyDescent="0.55000000000000004">
      <c r="A230" s="3">
        <v>1238911410</v>
      </c>
      <c r="B230" s="1" t="s">
        <v>12</v>
      </c>
      <c r="C230" s="6">
        <v>34709</v>
      </c>
      <c r="D230" s="6">
        <v>43397</v>
      </c>
      <c r="E230" s="6"/>
      <c r="F230" s="1" t="s">
        <v>63</v>
      </c>
      <c r="G230" s="2">
        <v>82468.75</v>
      </c>
      <c r="H230" s="7">
        <v>3</v>
      </c>
      <c r="I230" s="7">
        <v>3</v>
      </c>
      <c r="J230" s="7">
        <v>2</v>
      </c>
      <c r="K230" s="7">
        <v>2</v>
      </c>
      <c r="L230" s="7">
        <v>2</v>
      </c>
    </row>
    <row r="231" spans="1:12" x14ac:dyDescent="0.55000000000000004">
      <c r="A231" s="3">
        <v>1238911411</v>
      </c>
      <c r="B231" s="1" t="s">
        <v>12</v>
      </c>
      <c r="C231" s="6">
        <v>32165</v>
      </c>
      <c r="D231" s="6">
        <v>45483</v>
      </c>
      <c r="E231" s="6"/>
      <c r="F231" s="1" t="s">
        <v>185</v>
      </c>
      <c r="G231" s="2">
        <v>55354</v>
      </c>
      <c r="H231" s="7">
        <v>1</v>
      </c>
      <c r="I231" s="7">
        <v>2</v>
      </c>
      <c r="J231" s="7">
        <v>3</v>
      </c>
      <c r="K231" s="7">
        <v>2</v>
      </c>
      <c r="L231" s="7">
        <v>1</v>
      </c>
    </row>
    <row r="232" spans="1:12" x14ac:dyDescent="0.55000000000000004">
      <c r="A232" s="3">
        <v>1238911414</v>
      </c>
      <c r="B232" s="1" t="s">
        <v>12</v>
      </c>
      <c r="C232" s="6">
        <v>32188</v>
      </c>
      <c r="D232" s="6">
        <v>42981</v>
      </c>
      <c r="E232" s="6"/>
      <c r="F232" s="1" t="s">
        <v>186</v>
      </c>
      <c r="G232" s="2">
        <v>153518.625</v>
      </c>
      <c r="H232" s="7">
        <v>3</v>
      </c>
      <c r="I232" s="7">
        <v>3</v>
      </c>
      <c r="J232" s="7">
        <v>3</v>
      </c>
      <c r="K232" s="7">
        <v>3</v>
      </c>
      <c r="L232" s="7">
        <v>2</v>
      </c>
    </row>
    <row r="233" spans="1:12" x14ac:dyDescent="0.55000000000000004">
      <c r="A233" s="3">
        <v>1238911415</v>
      </c>
      <c r="B233" s="1" t="s">
        <v>12</v>
      </c>
      <c r="C233" s="6">
        <v>32259</v>
      </c>
      <c r="D233" s="6">
        <v>41542</v>
      </c>
      <c r="E233" s="6"/>
      <c r="F233" s="1" t="s">
        <v>187</v>
      </c>
      <c r="G233" s="2">
        <v>70353.75</v>
      </c>
      <c r="H233" s="7">
        <v>3</v>
      </c>
      <c r="I233" s="7">
        <v>1</v>
      </c>
      <c r="J233" s="7">
        <v>1</v>
      </c>
      <c r="K233" s="7">
        <v>3</v>
      </c>
      <c r="L233" s="7">
        <v>2</v>
      </c>
    </row>
    <row r="234" spans="1:12" x14ac:dyDescent="0.55000000000000004">
      <c r="A234" s="3">
        <v>1238911419</v>
      </c>
      <c r="B234" s="1" t="s">
        <v>12</v>
      </c>
      <c r="C234" s="6">
        <v>32326</v>
      </c>
      <c r="D234" s="6">
        <v>41390</v>
      </c>
      <c r="E234" s="6">
        <v>44335</v>
      </c>
      <c r="F234" s="1" t="s">
        <v>96</v>
      </c>
      <c r="G234" s="2">
        <v>31512.5</v>
      </c>
      <c r="H234" s="7">
        <v>1</v>
      </c>
      <c r="I234" s="7">
        <v>1</v>
      </c>
      <c r="J234" s="7">
        <v>1</v>
      </c>
      <c r="K234" s="7">
        <v>2</v>
      </c>
      <c r="L234" s="7">
        <v>2</v>
      </c>
    </row>
    <row r="235" spans="1:12" x14ac:dyDescent="0.55000000000000004">
      <c r="A235" s="3">
        <v>1238911420</v>
      </c>
      <c r="B235" s="1" t="s">
        <v>12</v>
      </c>
      <c r="C235" s="6">
        <v>32336</v>
      </c>
      <c r="D235" s="6">
        <v>41325</v>
      </c>
      <c r="E235" s="6"/>
      <c r="F235" s="1" t="s">
        <v>189</v>
      </c>
      <c r="G235" s="2">
        <v>62400</v>
      </c>
      <c r="H235" s="7">
        <v>2</v>
      </c>
      <c r="I235" s="7">
        <v>3</v>
      </c>
      <c r="J235" s="7">
        <v>2</v>
      </c>
      <c r="K235" s="7">
        <v>2</v>
      </c>
      <c r="L235" s="7">
        <v>1</v>
      </c>
    </row>
    <row r="236" spans="1:12" x14ac:dyDescent="0.55000000000000004">
      <c r="A236" s="3">
        <v>1238911422</v>
      </c>
      <c r="B236" s="1" t="s">
        <v>12</v>
      </c>
      <c r="C236" s="6">
        <v>32376</v>
      </c>
      <c r="D236" s="6">
        <v>41527</v>
      </c>
      <c r="E236" s="6"/>
      <c r="F236" s="1" t="s">
        <v>190</v>
      </c>
      <c r="G236" s="2">
        <v>80990</v>
      </c>
      <c r="H236" s="7">
        <v>3</v>
      </c>
      <c r="I236" s="7">
        <v>1</v>
      </c>
      <c r="J236" s="7">
        <v>3</v>
      </c>
      <c r="K236" s="7">
        <v>2</v>
      </c>
      <c r="L236" s="7">
        <v>2</v>
      </c>
    </row>
    <row r="237" spans="1:12" x14ac:dyDescent="0.55000000000000004">
      <c r="A237" s="3">
        <v>1238911423</v>
      </c>
      <c r="B237" s="1" t="s">
        <v>12</v>
      </c>
      <c r="C237" s="6">
        <v>32379</v>
      </c>
      <c r="D237" s="6">
        <v>41305</v>
      </c>
      <c r="E237" s="6"/>
      <c r="F237" s="1" t="s">
        <v>99</v>
      </c>
      <c r="G237" s="2">
        <v>126809.47500000001</v>
      </c>
      <c r="H237" s="7">
        <v>2</v>
      </c>
      <c r="I237" s="7">
        <v>2</v>
      </c>
      <c r="J237" s="7">
        <v>3</v>
      </c>
      <c r="K237" s="7">
        <v>2</v>
      </c>
      <c r="L237" s="7">
        <v>3</v>
      </c>
    </row>
    <row r="238" spans="1:12" x14ac:dyDescent="0.55000000000000004">
      <c r="A238" s="3">
        <v>1238911425</v>
      </c>
      <c r="B238" s="1" t="s">
        <v>12</v>
      </c>
      <c r="C238" s="6">
        <v>32406</v>
      </c>
      <c r="D238" s="6">
        <v>42641</v>
      </c>
      <c r="E238" s="6"/>
      <c r="F238" s="1" t="s">
        <v>157</v>
      </c>
      <c r="G238" s="2">
        <v>75000</v>
      </c>
      <c r="H238" s="7">
        <v>3</v>
      </c>
      <c r="I238" s="7">
        <v>2</v>
      </c>
      <c r="J238" s="7">
        <v>1</v>
      </c>
      <c r="K238" s="7">
        <v>1</v>
      </c>
      <c r="L238" s="7">
        <v>1</v>
      </c>
    </row>
    <row r="239" spans="1:12" x14ac:dyDescent="0.55000000000000004">
      <c r="A239" s="3">
        <v>1238911428</v>
      </c>
      <c r="B239" s="1" t="s">
        <v>12</v>
      </c>
      <c r="C239" s="6">
        <v>32472</v>
      </c>
      <c r="D239" s="6">
        <v>43695</v>
      </c>
      <c r="E239" s="6"/>
      <c r="F239" s="1" t="s">
        <v>194</v>
      </c>
      <c r="G239" s="2">
        <v>50050</v>
      </c>
      <c r="H239" s="7">
        <v>1</v>
      </c>
      <c r="I239" s="7">
        <v>3</v>
      </c>
      <c r="J239" s="7">
        <v>1</v>
      </c>
      <c r="K239" s="7">
        <v>1</v>
      </c>
      <c r="L239" s="7">
        <v>2</v>
      </c>
    </row>
    <row r="240" spans="1:12" x14ac:dyDescent="0.55000000000000004">
      <c r="A240" s="3">
        <v>1238911429</v>
      </c>
      <c r="B240" s="1" t="s">
        <v>12</v>
      </c>
      <c r="C240" s="6">
        <v>32486</v>
      </c>
      <c r="D240" s="6">
        <v>42223</v>
      </c>
      <c r="E240" s="6"/>
      <c r="F240" s="1" t="s">
        <v>190</v>
      </c>
      <c r="G240" s="2">
        <v>88114</v>
      </c>
      <c r="H240" s="7">
        <v>3</v>
      </c>
      <c r="I240" s="7">
        <v>2</v>
      </c>
      <c r="J240" s="7">
        <v>1</v>
      </c>
      <c r="K240" s="7">
        <v>2</v>
      </c>
      <c r="L240" s="7">
        <v>2</v>
      </c>
    </row>
    <row r="241" spans="1:12" x14ac:dyDescent="0.55000000000000004">
      <c r="A241" s="3">
        <v>1238911431</v>
      </c>
      <c r="B241" s="1" t="s">
        <v>12</v>
      </c>
      <c r="C241" s="6">
        <v>32561</v>
      </c>
      <c r="D241" s="6">
        <v>41539</v>
      </c>
      <c r="E241" s="6"/>
      <c r="F241" s="1" t="s">
        <v>185</v>
      </c>
      <c r="G241" s="2">
        <v>51012</v>
      </c>
      <c r="H241" s="7">
        <v>2</v>
      </c>
      <c r="I241" s="7">
        <v>3</v>
      </c>
      <c r="J241" s="7">
        <v>1</v>
      </c>
      <c r="K241" s="7">
        <v>3</v>
      </c>
      <c r="L241" s="7">
        <v>3</v>
      </c>
    </row>
    <row r="242" spans="1:12" x14ac:dyDescent="0.55000000000000004">
      <c r="A242" s="3">
        <v>1238911432</v>
      </c>
      <c r="B242" s="1" t="s">
        <v>12</v>
      </c>
      <c r="C242" s="6">
        <v>32561</v>
      </c>
      <c r="D242" s="6">
        <v>42119</v>
      </c>
      <c r="E242" s="6">
        <v>45511</v>
      </c>
      <c r="F242" s="1" t="s">
        <v>185</v>
      </c>
      <c r="G242" s="2">
        <v>51012</v>
      </c>
      <c r="H242" s="7">
        <v>1</v>
      </c>
      <c r="I242" s="7">
        <v>2</v>
      </c>
      <c r="J242" s="7">
        <v>1</v>
      </c>
      <c r="K242" s="7">
        <v>3</v>
      </c>
      <c r="L242" s="7">
        <v>3</v>
      </c>
    </row>
    <row r="243" spans="1:12" x14ac:dyDescent="0.55000000000000004">
      <c r="A243" s="3">
        <v>1238911433</v>
      </c>
      <c r="B243" s="1" t="s">
        <v>12</v>
      </c>
      <c r="C243" s="6">
        <v>32580</v>
      </c>
      <c r="D243" s="6">
        <v>44090</v>
      </c>
      <c r="E243" s="6"/>
      <c r="F243" s="1" t="s">
        <v>185</v>
      </c>
      <c r="G243" s="2">
        <v>57928</v>
      </c>
      <c r="H243" s="7">
        <v>3</v>
      </c>
      <c r="I243" s="7">
        <v>3</v>
      </c>
      <c r="J243" s="7">
        <v>2</v>
      </c>
      <c r="K243" s="7">
        <v>1</v>
      </c>
      <c r="L243" s="7">
        <v>1</v>
      </c>
    </row>
    <row r="244" spans="1:12" x14ac:dyDescent="0.55000000000000004">
      <c r="A244" s="3">
        <v>1238911434</v>
      </c>
      <c r="B244" s="1" t="s">
        <v>12</v>
      </c>
      <c r="C244" s="6">
        <v>32601</v>
      </c>
      <c r="D244" s="6">
        <v>41461</v>
      </c>
      <c r="E244" s="6"/>
      <c r="F244" s="1" t="s">
        <v>196</v>
      </c>
      <c r="G244" s="2">
        <v>91961.674999999988</v>
      </c>
      <c r="H244" s="7">
        <v>2</v>
      </c>
      <c r="I244" s="7">
        <v>2</v>
      </c>
      <c r="J244" s="7">
        <v>1</v>
      </c>
      <c r="K244" s="7">
        <v>1</v>
      </c>
      <c r="L244" s="7">
        <v>2</v>
      </c>
    </row>
    <row r="245" spans="1:12" x14ac:dyDescent="0.55000000000000004">
      <c r="A245" s="3">
        <v>1238911435</v>
      </c>
      <c r="B245" s="1" t="s">
        <v>12</v>
      </c>
      <c r="C245" s="6">
        <v>32601</v>
      </c>
      <c r="D245" s="6">
        <v>41461</v>
      </c>
      <c r="E245" s="6"/>
      <c r="F245" s="1" t="s">
        <v>196</v>
      </c>
      <c r="G245" s="2">
        <v>91961.674999999988</v>
      </c>
      <c r="H245" s="7">
        <v>1</v>
      </c>
      <c r="I245" s="7">
        <v>3</v>
      </c>
      <c r="J245" s="7">
        <v>3</v>
      </c>
      <c r="K245" s="7">
        <v>1</v>
      </c>
      <c r="L245" s="7">
        <v>3</v>
      </c>
    </row>
    <row r="246" spans="1:12" x14ac:dyDescent="0.55000000000000004">
      <c r="A246" s="3">
        <v>1238911436</v>
      </c>
      <c r="B246" s="1" t="s">
        <v>12</v>
      </c>
      <c r="C246" s="6">
        <v>32606</v>
      </c>
      <c r="D246" s="6">
        <v>43870</v>
      </c>
      <c r="E246" s="6"/>
      <c r="F246" s="1" t="s">
        <v>13</v>
      </c>
      <c r="G246" s="2">
        <v>31200</v>
      </c>
      <c r="H246" s="7">
        <v>3</v>
      </c>
      <c r="I246" s="7">
        <v>3</v>
      </c>
      <c r="J246" s="7">
        <v>1</v>
      </c>
      <c r="K246" s="7">
        <v>2</v>
      </c>
      <c r="L246" s="7">
        <v>2</v>
      </c>
    </row>
    <row r="247" spans="1:12" x14ac:dyDescent="0.55000000000000004">
      <c r="A247" s="3">
        <v>1238911437</v>
      </c>
      <c r="B247" s="1" t="s">
        <v>12</v>
      </c>
      <c r="C247" s="6">
        <v>32623</v>
      </c>
      <c r="D247" s="6">
        <v>41767</v>
      </c>
      <c r="E247" s="6">
        <v>42536</v>
      </c>
      <c r="F247" s="1" t="s">
        <v>197</v>
      </c>
      <c r="G247" s="2">
        <v>63927.825000000004</v>
      </c>
      <c r="H247" s="7">
        <v>2</v>
      </c>
      <c r="I247" s="7">
        <v>1</v>
      </c>
      <c r="J247" s="7">
        <v>1</v>
      </c>
      <c r="K247" s="7">
        <v>2</v>
      </c>
      <c r="L247" s="7">
        <v>3</v>
      </c>
    </row>
    <row r="248" spans="1:12" x14ac:dyDescent="0.55000000000000004">
      <c r="A248" s="3">
        <v>1238911439</v>
      </c>
      <c r="B248" s="1" t="s">
        <v>12</v>
      </c>
      <c r="C248" s="6">
        <v>32695</v>
      </c>
      <c r="D248" s="6">
        <v>44504</v>
      </c>
      <c r="E248" s="6"/>
      <c r="F248" s="1" t="s">
        <v>199</v>
      </c>
      <c r="G248" s="2">
        <v>61204</v>
      </c>
      <c r="H248" s="7">
        <v>1</v>
      </c>
      <c r="I248" s="7">
        <v>3</v>
      </c>
      <c r="J248" s="7">
        <v>3</v>
      </c>
      <c r="K248" s="7">
        <v>1</v>
      </c>
      <c r="L248" s="7">
        <v>1</v>
      </c>
    </row>
    <row r="249" spans="1:12" x14ac:dyDescent="0.55000000000000004">
      <c r="A249" s="3">
        <v>1238911440</v>
      </c>
      <c r="B249" s="1" t="s">
        <v>12</v>
      </c>
      <c r="C249" s="6">
        <v>32720</v>
      </c>
      <c r="D249" s="6">
        <v>44636</v>
      </c>
      <c r="E249" s="6"/>
      <c r="F249" s="1" t="s">
        <v>200</v>
      </c>
      <c r="G249" s="2">
        <v>60000</v>
      </c>
      <c r="H249" s="7">
        <v>2</v>
      </c>
      <c r="I249" s="7">
        <v>2</v>
      </c>
      <c r="J249" s="7">
        <v>1</v>
      </c>
      <c r="K249" s="7">
        <v>2</v>
      </c>
      <c r="L249" s="7">
        <v>2</v>
      </c>
    </row>
    <row r="250" spans="1:12" x14ac:dyDescent="0.55000000000000004">
      <c r="A250" s="3">
        <v>1238911441</v>
      </c>
      <c r="B250" s="1" t="s">
        <v>12</v>
      </c>
      <c r="C250" s="6">
        <v>32723</v>
      </c>
      <c r="D250" s="6">
        <v>45000</v>
      </c>
      <c r="E250" s="6"/>
      <c r="F250" s="1" t="s">
        <v>84</v>
      </c>
      <c r="G250" s="2">
        <v>39598</v>
      </c>
      <c r="H250" s="7">
        <v>2</v>
      </c>
      <c r="I250" s="7">
        <v>1</v>
      </c>
      <c r="J250" s="7">
        <v>1</v>
      </c>
      <c r="K250" s="7">
        <v>2</v>
      </c>
      <c r="L250" s="7">
        <v>2</v>
      </c>
    </row>
    <row r="251" spans="1:12" x14ac:dyDescent="0.55000000000000004">
      <c r="A251" s="3">
        <v>1238911442</v>
      </c>
      <c r="B251" s="1" t="s">
        <v>12</v>
      </c>
      <c r="C251" s="6">
        <v>31267</v>
      </c>
      <c r="D251" s="6">
        <v>43786</v>
      </c>
      <c r="E251" s="6">
        <v>44525</v>
      </c>
      <c r="F251" s="1" t="s">
        <v>187</v>
      </c>
      <c r="G251" s="2">
        <v>83694</v>
      </c>
      <c r="H251" s="7">
        <v>2</v>
      </c>
      <c r="I251" s="7">
        <v>2</v>
      </c>
      <c r="J251" s="7">
        <v>2</v>
      </c>
      <c r="K251" s="7">
        <v>2</v>
      </c>
      <c r="L251" s="7">
        <v>3</v>
      </c>
    </row>
    <row r="252" spans="1:12" x14ac:dyDescent="0.55000000000000004">
      <c r="A252" s="3">
        <v>1238911443</v>
      </c>
      <c r="B252" s="1" t="s">
        <v>12</v>
      </c>
      <c r="C252" s="6">
        <v>32733</v>
      </c>
      <c r="D252" s="6">
        <v>43861</v>
      </c>
      <c r="E252" s="6"/>
      <c r="F252" s="1" t="s">
        <v>134</v>
      </c>
      <c r="G252" s="2">
        <v>71041.25</v>
      </c>
      <c r="H252" s="7">
        <v>3</v>
      </c>
      <c r="I252" s="7">
        <v>1</v>
      </c>
      <c r="J252" s="7">
        <v>1</v>
      </c>
      <c r="K252" s="7">
        <v>2</v>
      </c>
      <c r="L252" s="7">
        <v>2</v>
      </c>
    </row>
    <row r="253" spans="1:12" x14ac:dyDescent="0.55000000000000004">
      <c r="A253" s="3">
        <v>1238911444</v>
      </c>
      <c r="B253" s="1" t="s">
        <v>12</v>
      </c>
      <c r="C253" s="6">
        <v>32847</v>
      </c>
      <c r="D253" s="6">
        <v>44905</v>
      </c>
      <c r="E253" s="6">
        <v>45140</v>
      </c>
      <c r="F253" s="1" t="s">
        <v>201</v>
      </c>
      <c r="G253" s="2">
        <v>69187.625</v>
      </c>
      <c r="H253" s="7">
        <v>1</v>
      </c>
      <c r="I253" s="7">
        <v>3</v>
      </c>
      <c r="J253" s="7">
        <v>1</v>
      </c>
      <c r="K253" s="7">
        <v>1</v>
      </c>
      <c r="L253" s="7">
        <v>3</v>
      </c>
    </row>
    <row r="254" spans="1:12" x14ac:dyDescent="0.55000000000000004">
      <c r="A254" s="3">
        <v>1238911445</v>
      </c>
      <c r="B254" s="1" t="s">
        <v>12</v>
      </c>
      <c r="C254" s="6">
        <v>32768</v>
      </c>
      <c r="D254" s="6">
        <v>43091</v>
      </c>
      <c r="E254" s="6">
        <v>44713</v>
      </c>
      <c r="F254" s="1" t="s">
        <v>202</v>
      </c>
      <c r="G254" s="2">
        <v>89249.875</v>
      </c>
      <c r="H254" s="7">
        <v>3</v>
      </c>
      <c r="I254" s="7">
        <v>2</v>
      </c>
      <c r="J254" s="7">
        <v>2</v>
      </c>
      <c r="K254" s="7">
        <v>1</v>
      </c>
      <c r="L254" s="7">
        <v>3</v>
      </c>
    </row>
    <row r="255" spans="1:12" x14ac:dyDescent="0.55000000000000004">
      <c r="A255" s="3">
        <v>1238911446</v>
      </c>
      <c r="B255" s="1" t="s">
        <v>12</v>
      </c>
      <c r="C255" s="6">
        <v>32785</v>
      </c>
      <c r="D255" s="6">
        <v>42609</v>
      </c>
      <c r="E255" s="6">
        <v>45525</v>
      </c>
      <c r="F255" s="1" t="s">
        <v>185</v>
      </c>
      <c r="G255" s="2">
        <v>65625</v>
      </c>
      <c r="H255" s="7">
        <v>3</v>
      </c>
      <c r="I255" s="7">
        <v>3</v>
      </c>
      <c r="J255" s="7">
        <v>3</v>
      </c>
      <c r="K255" s="7">
        <v>2</v>
      </c>
      <c r="L255" s="7">
        <v>3</v>
      </c>
    </row>
    <row r="256" spans="1:12" x14ac:dyDescent="0.55000000000000004">
      <c r="A256" s="3">
        <v>1238911447</v>
      </c>
      <c r="B256" s="1" t="s">
        <v>12</v>
      </c>
      <c r="C256" s="6">
        <v>32791</v>
      </c>
      <c r="D256" s="6">
        <v>41019</v>
      </c>
      <c r="E256" s="6"/>
      <c r="F256" s="1" t="s">
        <v>203</v>
      </c>
      <c r="G256" s="2">
        <v>41067.5</v>
      </c>
      <c r="H256" s="7">
        <v>1</v>
      </c>
      <c r="I256" s="7">
        <v>1</v>
      </c>
      <c r="J256" s="7">
        <v>2</v>
      </c>
      <c r="K256" s="7">
        <v>1</v>
      </c>
      <c r="L256" s="7">
        <v>2</v>
      </c>
    </row>
    <row r="257" spans="1:12" x14ac:dyDescent="0.55000000000000004">
      <c r="A257" s="3">
        <v>1238911448</v>
      </c>
      <c r="B257" s="1" t="s">
        <v>12</v>
      </c>
      <c r="C257" s="6">
        <v>32806</v>
      </c>
      <c r="D257" s="6">
        <v>44755</v>
      </c>
      <c r="E257" s="6">
        <v>45260</v>
      </c>
      <c r="F257" s="1" t="s">
        <v>183</v>
      </c>
      <c r="G257" s="2">
        <v>62816</v>
      </c>
      <c r="H257" s="7">
        <v>3</v>
      </c>
      <c r="I257" s="7">
        <v>1</v>
      </c>
      <c r="J257" s="7">
        <v>2</v>
      </c>
      <c r="K257" s="7">
        <v>2</v>
      </c>
      <c r="L257" s="7">
        <v>3</v>
      </c>
    </row>
    <row r="258" spans="1:12" x14ac:dyDescent="0.55000000000000004">
      <c r="A258" s="3">
        <v>1238911450</v>
      </c>
      <c r="B258" s="1" t="s">
        <v>12</v>
      </c>
      <c r="C258" s="6">
        <v>32844</v>
      </c>
      <c r="D258" s="6">
        <v>42626</v>
      </c>
      <c r="E258" s="6">
        <v>45176</v>
      </c>
      <c r="F258" s="1" t="s">
        <v>204</v>
      </c>
      <c r="G258" s="2">
        <v>39000</v>
      </c>
      <c r="H258" s="7">
        <v>1</v>
      </c>
      <c r="I258" s="7">
        <v>3</v>
      </c>
      <c r="J258" s="7">
        <v>3</v>
      </c>
      <c r="K258" s="7">
        <v>2</v>
      </c>
      <c r="L258" s="7">
        <v>1</v>
      </c>
    </row>
    <row r="259" spans="1:12" x14ac:dyDescent="0.55000000000000004">
      <c r="A259" s="3">
        <v>1238911451</v>
      </c>
      <c r="B259" s="1" t="s">
        <v>12</v>
      </c>
      <c r="C259" s="6">
        <v>32880</v>
      </c>
      <c r="D259" s="6">
        <v>43848</v>
      </c>
      <c r="E259" s="6">
        <v>45035</v>
      </c>
      <c r="F259" s="1" t="s">
        <v>63</v>
      </c>
      <c r="G259" s="2">
        <v>83687.5</v>
      </c>
      <c r="H259" s="7">
        <v>3</v>
      </c>
      <c r="I259" s="7">
        <v>2</v>
      </c>
      <c r="J259" s="7">
        <v>2</v>
      </c>
      <c r="K259" s="7">
        <v>2</v>
      </c>
      <c r="L259" s="7">
        <v>2</v>
      </c>
    </row>
    <row r="260" spans="1:12" x14ac:dyDescent="0.55000000000000004">
      <c r="A260" s="3">
        <v>1238911452</v>
      </c>
      <c r="B260" s="1" t="s">
        <v>12</v>
      </c>
      <c r="C260" s="6">
        <v>31436</v>
      </c>
      <c r="D260" s="6">
        <v>43148</v>
      </c>
      <c r="E260" s="6">
        <v>44613</v>
      </c>
      <c r="F260" s="1" t="s">
        <v>205</v>
      </c>
      <c r="G260" s="2">
        <v>56812.5</v>
      </c>
      <c r="H260" s="7">
        <v>1</v>
      </c>
      <c r="I260" s="7">
        <v>1</v>
      </c>
      <c r="J260" s="7">
        <v>3</v>
      </c>
      <c r="K260" s="7">
        <v>3</v>
      </c>
      <c r="L260" s="7">
        <v>2</v>
      </c>
    </row>
    <row r="261" spans="1:12" x14ac:dyDescent="0.55000000000000004">
      <c r="A261" s="3">
        <v>1238911456</v>
      </c>
      <c r="B261" s="1" t="s">
        <v>12</v>
      </c>
      <c r="C261" s="6">
        <v>32932</v>
      </c>
      <c r="D261" s="6">
        <v>42235</v>
      </c>
      <c r="E261" s="6"/>
      <c r="F261" s="1" t="s">
        <v>114</v>
      </c>
      <c r="G261" s="2">
        <v>70941</v>
      </c>
      <c r="H261" s="7">
        <v>3</v>
      </c>
      <c r="I261" s="7">
        <v>3</v>
      </c>
      <c r="J261" s="7">
        <v>1</v>
      </c>
      <c r="K261" s="7">
        <v>2</v>
      </c>
      <c r="L261" s="7">
        <v>2</v>
      </c>
    </row>
    <row r="262" spans="1:12" x14ac:dyDescent="0.55000000000000004">
      <c r="A262" s="3">
        <v>1238911457</v>
      </c>
      <c r="B262" s="1" t="s">
        <v>12</v>
      </c>
      <c r="C262" s="6">
        <v>32935</v>
      </c>
      <c r="D262" s="6">
        <v>43799</v>
      </c>
      <c r="E262" s="6"/>
      <c r="F262" s="1" t="s">
        <v>44</v>
      </c>
      <c r="G262" s="2">
        <v>31200</v>
      </c>
      <c r="H262" s="7">
        <v>3</v>
      </c>
      <c r="I262" s="7">
        <v>1</v>
      </c>
      <c r="J262" s="7">
        <v>2</v>
      </c>
      <c r="K262" s="7">
        <v>3</v>
      </c>
      <c r="L262" s="7">
        <v>3</v>
      </c>
    </row>
    <row r="263" spans="1:12" x14ac:dyDescent="0.55000000000000004">
      <c r="A263" s="3">
        <v>1238911458</v>
      </c>
      <c r="B263" s="1" t="s">
        <v>12</v>
      </c>
      <c r="C263" s="6">
        <v>32944</v>
      </c>
      <c r="D263" s="6">
        <v>44583</v>
      </c>
      <c r="E263" s="6"/>
      <c r="F263" s="1" t="s">
        <v>111</v>
      </c>
      <c r="G263" s="2">
        <v>26650</v>
      </c>
      <c r="H263" s="7">
        <v>3</v>
      </c>
      <c r="I263" s="7">
        <v>1</v>
      </c>
      <c r="J263" s="7">
        <v>2</v>
      </c>
      <c r="K263" s="7">
        <v>2</v>
      </c>
      <c r="L263" s="7">
        <v>1</v>
      </c>
    </row>
    <row r="264" spans="1:12" x14ac:dyDescent="0.55000000000000004">
      <c r="A264" s="3">
        <v>1238911459</v>
      </c>
      <c r="B264" s="1" t="s">
        <v>12</v>
      </c>
      <c r="C264" s="6">
        <v>32950</v>
      </c>
      <c r="D264" s="6">
        <v>41630</v>
      </c>
      <c r="E264" s="6"/>
      <c r="F264" s="1" t="s">
        <v>206</v>
      </c>
      <c r="G264" s="2">
        <v>86710</v>
      </c>
      <c r="H264" s="7">
        <v>1</v>
      </c>
      <c r="I264" s="7">
        <v>1</v>
      </c>
      <c r="J264" s="7">
        <v>3</v>
      </c>
      <c r="K264" s="7">
        <v>2</v>
      </c>
      <c r="L264" s="7">
        <v>2</v>
      </c>
    </row>
    <row r="265" spans="1:12" x14ac:dyDescent="0.55000000000000004">
      <c r="A265" s="3">
        <v>1238911462</v>
      </c>
      <c r="B265" s="1" t="s">
        <v>12</v>
      </c>
      <c r="C265" s="6">
        <v>32971</v>
      </c>
      <c r="D265" s="6">
        <v>42469</v>
      </c>
      <c r="E265" s="6"/>
      <c r="F265" s="1" t="s">
        <v>99</v>
      </c>
      <c r="G265" s="2">
        <v>144856.07500000001</v>
      </c>
      <c r="H265" s="7">
        <v>2</v>
      </c>
      <c r="I265" s="7">
        <v>2</v>
      </c>
      <c r="J265" s="7">
        <v>3</v>
      </c>
      <c r="K265" s="7">
        <v>2</v>
      </c>
      <c r="L265" s="7">
        <v>2</v>
      </c>
    </row>
    <row r="266" spans="1:12" x14ac:dyDescent="0.55000000000000004">
      <c r="A266" s="3">
        <v>1238911463</v>
      </c>
      <c r="B266" s="1" t="s">
        <v>12</v>
      </c>
      <c r="C266" s="6">
        <v>33103</v>
      </c>
      <c r="D266" s="6">
        <v>43479</v>
      </c>
      <c r="E266" s="6"/>
      <c r="F266" s="1" t="s">
        <v>208</v>
      </c>
      <c r="G266" s="2">
        <v>86768.75</v>
      </c>
      <c r="H266" s="7">
        <v>3</v>
      </c>
      <c r="I266" s="7">
        <v>1</v>
      </c>
      <c r="J266" s="7">
        <v>2</v>
      </c>
      <c r="K266" s="7">
        <v>2</v>
      </c>
      <c r="L266" s="7">
        <v>2</v>
      </c>
    </row>
    <row r="267" spans="1:12" x14ac:dyDescent="0.55000000000000004">
      <c r="A267" s="3">
        <v>1238911464</v>
      </c>
      <c r="B267" s="1" t="s">
        <v>12</v>
      </c>
      <c r="C267" s="6">
        <v>33024</v>
      </c>
      <c r="D267" s="6">
        <v>41992</v>
      </c>
      <c r="E267" s="6"/>
      <c r="F267" s="1" t="s">
        <v>59</v>
      </c>
      <c r="G267" s="2">
        <v>57200</v>
      </c>
      <c r="H267" s="7">
        <v>2</v>
      </c>
      <c r="I267" s="7">
        <v>3</v>
      </c>
      <c r="J267" s="7">
        <v>3</v>
      </c>
      <c r="K267" s="7">
        <v>2</v>
      </c>
      <c r="L267" s="7">
        <v>2</v>
      </c>
    </row>
    <row r="268" spans="1:12" x14ac:dyDescent="0.55000000000000004">
      <c r="A268" s="3">
        <v>1238911465</v>
      </c>
      <c r="B268" s="1" t="s">
        <v>12</v>
      </c>
      <c r="C268" s="6">
        <v>33018</v>
      </c>
      <c r="D268" s="6">
        <v>43426</v>
      </c>
      <c r="E268" s="6"/>
      <c r="F268" s="1" t="s">
        <v>157</v>
      </c>
      <c r="G268" s="2">
        <v>91806</v>
      </c>
      <c r="H268" s="7">
        <v>1</v>
      </c>
      <c r="I268" s="7">
        <v>3</v>
      </c>
      <c r="J268" s="7">
        <v>1</v>
      </c>
      <c r="K268" s="7">
        <v>2</v>
      </c>
      <c r="L268" s="7">
        <v>1</v>
      </c>
    </row>
    <row r="269" spans="1:12" x14ac:dyDescent="0.55000000000000004">
      <c r="A269" s="3">
        <v>1238911466</v>
      </c>
      <c r="B269" s="1" t="s">
        <v>12</v>
      </c>
      <c r="C269" s="6">
        <v>32991</v>
      </c>
      <c r="D269" s="6">
        <v>41194</v>
      </c>
      <c r="E269" s="6">
        <v>44608</v>
      </c>
      <c r="F269" s="1" t="s">
        <v>209</v>
      </c>
      <c r="G269" s="2">
        <v>102790.35</v>
      </c>
      <c r="H269" s="7">
        <v>2</v>
      </c>
      <c r="I269" s="7">
        <v>3</v>
      </c>
      <c r="J269" s="7">
        <v>2</v>
      </c>
      <c r="K269" s="7">
        <v>2</v>
      </c>
      <c r="L269" s="7">
        <v>2</v>
      </c>
    </row>
    <row r="270" spans="1:12" x14ac:dyDescent="0.55000000000000004">
      <c r="A270" s="3">
        <v>1238911469</v>
      </c>
      <c r="B270" s="1" t="s">
        <v>12</v>
      </c>
      <c r="C270" s="6">
        <v>33057</v>
      </c>
      <c r="D270" s="6">
        <v>45073</v>
      </c>
      <c r="E270" s="6"/>
      <c r="F270" s="1" t="s">
        <v>43</v>
      </c>
      <c r="G270" s="2">
        <v>31200</v>
      </c>
      <c r="H270" s="7">
        <v>1</v>
      </c>
      <c r="I270" s="7">
        <v>3</v>
      </c>
      <c r="J270" s="7">
        <v>1</v>
      </c>
      <c r="K270" s="7">
        <v>1</v>
      </c>
      <c r="L270" s="7">
        <v>3</v>
      </c>
    </row>
    <row r="271" spans="1:12" x14ac:dyDescent="0.55000000000000004">
      <c r="A271" s="3">
        <v>1238911470</v>
      </c>
      <c r="B271" s="1" t="s">
        <v>12</v>
      </c>
      <c r="C271" s="6">
        <v>33162</v>
      </c>
      <c r="D271" s="6">
        <v>44563</v>
      </c>
      <c r="E271" s="6"/>
      <c r="F271" s="1" t="s">
        <v>74</v>
      </c>
      <c r="G271" s="2">
        <v>47502.5</v>
      </c>
      <c r="H271" s="7">
        <v>1</v>
      </c>
      <c r="I271" s="7">
        <v>2</v>
      </c>
      <c r="J271" s="7">
        <v>2</v>
      </c>
      <c r="K271" s="7">
        <v>1</v>
      </c>
      <c r="L271" s="7">
        <v>2</v>
      </c>
    </row>
    <row r="272" spans="1:12" x14ac:dyDescent="0.55000000000000004">
      <c r="A272" s="3">
        <v>1238911471</v>
      </c>
      <c r="B272" s="1" t="s">
        <v>12</v>
      </c>
      <c r="C272" s="6">
        <v>33077</v>
      </c>
      <c r="D272" s="6">
        <v>43305</v>
      </c>
      <c r="E272" s="6">
        <v>45889</v>
      </c>
      <c r="F272" s="1" t="s">
        <v>74</v>
      </c>
      <c r="G272" s="2">
        <v>49997.5</v>
      </c>
      <c r="H272" s="7">
        <v>2</v>
      </c>
      <c r="I272" s="7">
        <v>1</v>
      </c>
      <c r="J272" s="7">
        <v>1</v>
      </c>
      <c r="K272" s="7">
        <v>2</v>
      </c>
      <c r="L272" s="7">
        <v>2</v>
      </c>
    </row>
    <row r="273" spans="1:12" x14ac:dyDescent="0.55000000000000004">
      <c r="A273" s="3">
        <v>1238911472</v>
      </c>
      <c r="B273" s="1" t="s">
        <v>12</v>
      </c>
      <c r="C273" s="6">
        <v>33127</v>
      </c>
      <c r="D273" s="6">
        <v>42297</v>
      </c>
      <c r="E273" s="6"/>
      <c r="F273" s="1" t="s">
        <v>85</v>
      </c>
      <c r="G273" s="2">
        <v>75114</v>
      </c>
      <c r="H273" s="7">
        <v>3</v>
      </c>
      <c r="I273" s="7">
        <v>3</v>
      </c>
      <c r="J273" s="7">
        <v>3</v>
      </c>
      <c r="K273" s="7">
        <v>3</v>
      </c>
      <c r="L273" s="7">
        <v>2</v>
      </c>
    </row>
    <row r="274" spans="1:12" x14ac:dyDescent="0.55000000000000004">
      <c r="A274" s="3">
        <v>1238911475</v>
      </c>
      <c r="B274" s="1" t="s">
        <v>12</v>
      </c>
      <c r="C274" s="6">
        <v>33038</v>
      </c>
      <c r="D274" s="6">
        <v>42748</v>
      </c>
      <c r="E274" s="6">
        <v>43342</v>
      </c>
      <c r="F274" s="1" t="s">
        <v>213</v>
      </c>
      <c r="G274" s="2">
        <v>97422</v>
      </c>
      <c r="H274" s="7">
        <v>2</v>
      </c>
      <c r="I274" s="7">
        <v>3</v>
      </c>
      <c r="J274" s="7">
        <v>1</v>
      </c>
      <c r="K274" s="7">
        <v>3</v>
      </c>
      <c r="L274" s="7">
        <v>1</v>
      </c>
    </row>
    <row r="275" spans="1:12" x14ac:dyDescent="0.55000000000000004">
      <c r="A275" s="3">
        <v>1238911476</v>
      </c>
      <c r="B275" s="1" t="s">
        <v>12</v>
      </c>
      <c r="C275" s="6">
        <v>32919</v>
      </c>
      <c r="D275" s="6">
        <v>44967</v>
      </c>
      <c r="E275" s="6"/>
      <c r="F275" s="1" t="s">
        <v>214</v>
      </c>
      <c r="G275" s="2">
        <v>81000</v>
      </c>
      <c r="H275" s="7">
        <v>1</v>
      </c>
      <c r="I275" s="7">
        <v>2</v>
      </c>
      <c r="J275" s="7">
        <v>2</v>
      </c>
      <c r="K275" s="7">
        <v>3</v>
      </c>
      <c r="L275" s="7">
        <v>2</v>
      </c>
    </row>
    <row r="276" spans="1:12" x14ac:dyDescent="0.55000000000000004">
      <c r="A276" s="3">
        <v>1238911478</v>
      </c>
      <c r="B276" s="1" t="s">
        <v>12</v>
      </c>
      <c r="C276" s="6">
        <v>33054</v>
      </c>
      <c r="D276" s="6">
        <v>44867</v>
      </c>
      <c r="E276" s="6"/>
      <c r="F276" s="1" t="s">
        <v>216</v>
      </c>
      <c r="G276" s="2">
        <v>81250</v>
      </c>
      <c r="H276" s="7">
        <v>1</v>
      </c>
      <c r="I276" s="7">
        <v>3</v>
      </c>
      <c r="J276" s="7">
        <v>1</v>
      </c>
      <c r="K276" s="7">
        <v>3</v>
      </c>
      <c r="L276" s="7">
        <v>1</v>
      </c>
    </row>
    <row r="277" spans="1:12" x14ac:dyDescent="0.55000000000000004">
      <c r="A277" s="3">
        <v>1238911479</v>
      </c>
      <c r="B277" s="1" t="s">
        <v>12</v>
      </c>
      <c r="C277" s="6">
        <v>33186</v>
      </c>
      <c r="D277" s="6">
        <v>45035</v>
      </c>
      <c r="E277" s="6">
        <v>45057</v>
      </c>
      <c r="F277" s="1" t="s">
        <v>134</v>
      </c>
      <c r="G277" s="2">
        <v>70583.75</v>
      </c>
      <c r="H277" s="7">
        <v>1</v>
      </c>
      <c r="I277" s="7">
        <v>2</v>
      </c>
      <c r="J277" s="7">
        <v>2</v>
      </c>
      <c r="K277" s="7">
        <v>3</v>
      </c>
      <c r="L277" s="7">
        <v>2</v>
      </c>
    </row>
    <row r="278" spans="1:12" x14ac:dyDescent="0.55000000000000004">
      <c r="A278" s="3">
        <v>1238911480</v>
      </c>
      <c r="B278" s="1" t="s">
        <v>12</v>
      </c>
      <c r="C278" s="6">
        <v>33084</v>
      </c>
      <c r="D278" s="6">
        <v>45035</v>
      </c>
      <c r="E278" s="6"/>
      <c r="F278" s="1" t="s">
        <v>134</v>
      </c>
      <c r="G278" s="2">
        <v>70583.75</v>
      </c>
      <c r="H278" s="7">
        <v>2</v>
      </c>
      <c r="I278" s="7">
        <v>1</v>
      </c>
      <c r="J278" s="7">
        <v>3</v>
      </c>
      <c r="K278" s="7">
        <v>1</v>
      </c>
      <c r="L278" s="7">
        <v>1</v>
      </c>
    </row>
    <row r="279" spans="1:12" x14ac:dyDescent="0.55000000000000004">
      <c r="A279" s="3">
        <v>1238911481</v>
      </c>
      <c r="B279" s="1" t="s">
        <v>12</v>
      </c>
      <c r="C279" s="6">
        <v>33187</v>
      </c>
      <c r="D279" s="6">
        <v>41237</v>
      </c>
      <c r="E279" s="6"/>
      <c r="F279" s="1" t="s">
        <v>217</v>
      </c>
      <c r="G279" s="2">
        <v>141625</v>
      </c>
      <c r="H279" s="7">
        <v>2</v>
      </c>
      <c r="I279" s="7">
        <v>2</v>
      </c>
      <c r="J279" s="7">
        <v>3</v>
      </c>
      <c r="K279" s="7">
        <v>3</v>
      </c>
      <c r="L279" s="7">
        <v>2</v>
      </c>
    </row>
    <row r="280" spans="1:12" x14ac:dyDescent="0.55000000000000004">
      <c r="A280" s="3">
        <v>1238911482</v>
      </c>
      <c r="B280" s="1" t="s">
        <v>12</v>
      </c>
      <c r="C280" s="6">
        <v>33216</v>
      </c>
      <c r="D280" s="6">
        <v>43147</v>
      </c>
      <c r="E280" s="6"/>
      <c r="F280" s="1" t="s">
        <v>157</v>
      </c>
      <c r="G280" s="2">
        <v>99127.5</v>
      </c>
      <c r="H280" s="7">
        <v>1</v>
      </c>
      <c r="I280" s="7">
        <v>2</v>
      </c>
      <c r="J280" s="7">
        <v>2</v>
      </c>
      <c r="K280" s="7">
        <v>1</v>
      </c>
      <c r="L280" s="7">
        <v>1</v>
      </c>
    </row>
    <row r="281" spans="1:12" x14ac:dyDescent="0.55000000000000004">
      <c r="A281" s="3">
        <v>1238911485</v>
      </c>
      <c r="B281" s="1" t="s">
        <v>12</v>
      </c>
      <c r="C281" s="6">
        <v>33237</v>
      </c>
      <c r="D281" s="6">
        <v>42638</v>
      </c>
      <c r="E281" s="6">
        <v>45483</v>
      </c>
      <c r="F281" s="1" t="s">
        <v>218</v>
      </c>
      <c r="G281" s="2">
        <v>62946</v>
      </c>
      <c r="H281" s="7">
        <v>3</v>
      </c>
      <c r="I281" s="7">
        <v>1</v>
      </c>
      <c r="J281" s="7">
        <v>1</v>
      </c>
      <c r="K281" s="7">
        <v>1</v>
      </c>
      <c r="L281" s="7">
        <v>2</v>
      </c>
    </row>
    <row r="282" spans="1:12" x14ac:dyDescent="0.55000000000000004">
      <c r="A282" s="3">
        <v>1238911486</v>
      </c>
      <c r="B282" s="1" t="s">
        <v>12</v>
      </c>
      <c r="C282" s="6">
        <v>33255</v>
      </c>
      <c r="D282" s="6">
        <v>44715</v>
      </c>
      <c r="E282" s="6"/>
      <c r="F282" s="1" t="s">
        <v>219</v>
      </c>
      <c r="G282" s="2">
        <v>83459.974999999991</v>
      </c>
      <c r="H282" s="7">
        <v>2</v>
      </c>
      <c r="I282" s="7">
        <v>2</v>
      </c>
      <c r="J282" s="7">
        <v>1</v>
      </c>
      <c r="K282" s="7">
        <v>1</v>
      </c>
      <c r="L282" s="7">
        <v>3</v>
      </c>
    </row>
    <row r="283" spans="1:12" x14ac:dyDescent="0.55000000000000004">
      <c r="A283" s="3">
        <v>1238911487</v>
      </c>
      <c r="B283" s="1" t="s">
        <v>12</v>
      </c>
      <c r="C283" s="6">
        <v>33264</v>
      </c>
      <c r="D283" s="6">
        <v>43581</v>
      </c>
      <c r="E283" s="6"/>
      <c r="F283" s="1" t="s">
        <v>63</v>
      </c>
      <c r="G283" s="2">
        <v>91800.15</v>
      </c>
      <c r="H283" s="7">
        <v>3</v>
      </c>
      <c r="I283" s="7">
        <v>1</v>
      </c>
      <c r="J283" s="7">
        <v>3</v>
      </c>
      <c r="K283" s="7">
        <v>3</v>
      </c>
      <c r="L283" s="7">
        <v>1</v>
      </c>
    </row>
    <row r="284" spans="1:12" x14ac:dyDescent="0.55000000000000004">
      <c r="A284" s="3">
        <v>1238911490</v>
      </c>
      <c r="B284" s="1" t="s">
        <v>12</v>
      </c>
      <c r="C284" s="6">
        <v>33272</v>
      </c>
      <c r="D284" s="6">
        <v>44045</v>
      </c>
      <c r="E284" s="6"/>
      <c r="F284" s="1" t="s">
        <v>136</v>
      </c>
      <c r="G284" s="2">
        <v>79534</v>
      </c>
      <c r="H284" s="7">
        <v>2</v>
      </c>
      <c r="I284" s="7">
        <v>3</v>
      </c>
      <c r="J284" s="7">
        <v>2</v>
      </c>
      <c r="K284" s="7">
        <v>2</v>
      </c>
      <c r="L284" s="7">
        <v>1</v>
      </c>
    </row>
    <row r="285" spans="1:12" x14ac:dyDescent="0.55000000000000004">
      <c r="A285" s="3">
        <v>1238911491</v>
      </c>
      <c r="B285" s="1" t="s">
        <v>12</v>
      </c>
      <c r="C285" s="6">
        <v>33312</v>
      </c>
      <c r="D285" s="6">
        <v>43243</v>
      </c>
      <c r="E285" s="6"/>
      <c r="F285" s="1" t="s">
        <v>221</v>
      </c>
      <c r="G285" s="2">
        <v>118978.6</v>
      </c>
      <c r="H285" s="7">
        <v>3</v>
      </c>
      <c r="I285" s="7">
        <v>2</v>
      </c>
      <c r="J285" s="7">
        <v>2</v>
      </c>
      <c r="K285" s="7">
        <v>2</v>
      </c>
      <c r="L285" s="7">
        <v>2</v>
      </c>
    </row>
    <row r="286" spans="1:12" x14ac:dyDescent="0.55000000000000004">
      <c r="A286" s="3">
        <v>1238911493</v>
      </c>
      <c r="B286" s="1" t="s">
        <v>12</v>
      </c>
      <c r="C286" s="6">
        <v>33326</v>
      </c>
      <c r="D286" s="6">
        <v>41844</v>
      </c>
      <c r="E286" s="6">
        <v>42162</v>
      </c>
      <c r="F286" s="1" t="s">
        <v>222</v>
      </c>
      <c r="G286" s="2">
        <v>58494.475000000006</v>
      </c>
      <c r="H286" s="7">
        <v>3</v>
      </c>
      <c r="I286" s="7">
        <v>1</v>
      </c>
      <c r="J286" s="7">
        <v>2</v>
      </c>
      <c r="K286" s="7">
        <v>3</v>
      </c>
      <c r="L286" s="7">
        <v>1</v>
      </c>
    </row>
    <row r="287" spans="1:12" x14ac:dyDescent="0.55000000000000004">
      <c r="A287" s="3">
        <v>1238911495</v>
      </c>
      <c r="B287" s="1" t="s">
        <v>12</v>
      </c>
      <c r="C287" s="6">
        <v>33344</v>
      </c>
      <c r="D287" s="6">
        <v>41400</v>
      </c>
      <c r="E287" s="6"/>
      <c r="F287" s="1" t="s">
        <v>129</v>
      </c>
      <c r="G287" s="2">
        <v>135995.27499999999</v>
      </c>
      <c r="H287" s="7">
        <v>2</v>
      </c>
      <c r="I287" s="7">
        <v>2</v>
      </c>
      <c r="J287" s="7">
        <v>3</v>
      </c>
      <c r="K287" s="7">
        <v>2</v>
      </c>
      <c r="L287" s="7">
        <v>2</v>
      </c>
    </row>
    <row r="288" spans="1:12" x14ac:dyDescent="0.55000000000000004">
      <c r="A288" s="3">
        <v>1238911496</v>
      </c>
      <c r="B288" s="1" t="s">
        <v>12</v>
      </c>
      <c r="C288" s="6">
        <v>33366</v>
      </c>
      <c r="D288" s="6">
        <v>43720</v>
      </c>
      <c r="E288" s="6"/>
      <c r="F288" s="1" t="s">
        <v>223</v>
      </c>
      <c r="G288" s="2">
        <v>87974.9</v>
      </c>
      <c r="H288" s="7">
        <v>1</v>
      </c>
      <c r="I288" s="7">
        <v>2</v>
      </c>
      <c r="J288" s="7">
        <v>2</v>
      </c>
      <c r="K288" s="7">
        <v>3</v>
      </c>
      <c r="L288" s="7">
        <v>2</v>
      </c>
    </row>
    <row r="289" spans="1:12" x14ac:dyDescent="0.55000000000000004">
      <c r="A289" s="3">
        <v>1238911498</v>
      </c>
      <c r="B289" s="1" t="s">
        <v>12</v>
      </c>
      <c r="C289" s="6">
        <v>33376</v>
      </c>
      <c r="D289" s="6">
        <v>43490</v>
      </c>
      <c r="E289" s="6"/>
      <c r="F289" s="1" t="s">
        <v>224</v>
      </c>
      <c r="G289" s="2">
        <v>79890.200000000012</v>
      </c>
      <c r="H289" s="7">
        <v>3</v>
      </c>
      <c r="I289" s="7">
        <v>3</v>
      </c>
      <c r="J289" s="7">
        <v>3</v>
      </c>
      <c r="K289" s="7">
        <v>1</v>
      </c>
      <c r="L289" s="7">
        <v>2</v>
      </c>
    </row>
    <row r="290" spans="1:12" x14ac:dyDescent="0.55000000000000004">
      <c r="A290" s="3">
        <v>1238911500</v>
      </c>
      <c r="B290" s="1" t="s">
        <v>12</v>
      </c>
      <c r="C290" s="6">
        <v>33422</v>
      </c>
      <c r="D290" s="6">
        <v>44323</v>
      </c>
      <c r="E290" s="6">
        <v>45870</v>
      </c>
      <c r="F290" s="1" t="s">
        <v>138</v>
      </c>
      <c r="G290" s="2">
        <v>85461.025000000009</v>
      </c>
      <c r="H290" s="7">
        <v>1</v>
      </c>
      <c r="I290" s="7">
        <v>3</v>
      </c>
      <c r="J290" s="7">
        <v>2</v>
      </c>
      <c r="K290" s="7">
        <v>3</v>
      </c>
      <c r="L290" s="7">
        <v>3</v>
      </c>
    </row>
    <row r="291" spans="1:12" x14ac:dyDescent="0.55000000000000004">
      <c r="A291" s="3">
        <v>1238911502</v>
      </c>
      <c r="B291" s="1" t="s">
        <v>12</v>
      </c>
      <c r="C291" s="6">
        <v>33424</v>
      </c>
      <c r="D291" s="6">
        <v>45212</v>
      </c>
      <c r="E291" s="6"/>
      <c r="F291" s="1" t="s">
        <v>189</v>
      </c>
      <c r="G291" s="2">
        <v>53300</v>
      </c>
      <c r="H291" s="7">
        <v>2</v>
      </c>
      <c r="I291" s="7">
        <v>1</v>
      </c>
      <c r="J291" s="7">
        <v>1</v>
      </c>
      <c r="K291" s="7">
        <v>1</v>
      </c>
      <c r="L291" s="7">
        <v>2</v>
      </c>
    </row>
    <row r="292" spans="1:12" x14ac:dyDescent="0.55000000000000004">
      <c r="A292" s="3">
        <v>1238911503</v>
      </c>
      <c r="B292" s="1" t="s">
        <v>12</v>
      </c>
      <c r="C292" s="6">
        <v>33435</v>
      </c>
      <c r="D292" s="6">
        <v>41860</v>
      </c>
      <c r="E292" s="6"/>
      <c r="F292" s="1" t="s">
        <v>227</v>
      </c>
      <c r="G292" s="2">
        <v>61022</v>
      </c>
      <c r="H292" s="7">
        <v>2</v>
      </c>
      <c r="I292" s="7">
        <v>2</v>
      </c>
      <c r="J292" s="7">
        <v>1</v>
      </c>
      <c r="K292" s="7">
        <v>3</v>
      </c>
      <c r="L292" s="7">
        <v>1</v>
      </c>
    </row>
    <row r="293" spans="1:12" x14ac:dyDescent="0.55000000000000004">
      <c r="A293" s="3">
        <v>1238911506</v>
      </c>
      <c r="B293" s="1" t="s">
        <v>12</v>
      </c>
      <c r="C293" s="6">
        <v>31986</v>
      </c>
      <c r="D293" s="6">
        <v>43225</v>
      </c>
      <c r="E293" s="6">
        <v>44569</v>
      </c>
      <c r="F293" s="1" t="s">
        <v>228</v>
      </c>
      <c r="G293" s="2">
        <v>65234</v>
      </c>
      <c r="H293" s="7">
        <v>1</v>
      </c>
      <c r="I293" s="7">
        <v>2</v>
      </c>
      <c r="J293" s="7">
        <v>2</v>
      </c>
      <c r="K293" s="7">
        <v>2</v>
      </c>
      <c r="L293" s="7">
        <v>3</v>
      </c>
    </row>
    <row r="294" spans="1:12" x14ac:dyDescent="0.55000000000000004">
      <c r="A294" s="3">
        <v>1238911507</v>
      </c>
      <c r="B294" s="1" t="s">
        <v>12</v>
      </c>
      <c r="C294" s="6">
        <v>33454</v>
      </c>
      <c r="D294" s="6">
        <v>44062</v>
      </c>
      <c r="E294" s="6"/>
      <c r="F294" s="1" t="s">
        <v>229</v>
      </c>
      <c r="G294" s="2">
        <v>49725</v>
      </c>
      <c r="H294" s="7">
        <v>3</v>
      </c>
      <c r="I294" s="7">
        <v>1</v>
      </c>
      <c r="J294" s="7">
        <v>1</v>
      </c>
      <c r="K294" s="7">
        <v>2</v>
      </c>
      <c r="L294" s="7">
        <v>2</v>
      </c>
    </row>
    <row r="295" spans="1:12" x14ac:dyDescent="0.55000000000000004">
      <c r="A295" s="3">
        <v>1238911509</v>
      </c>
      <c r="B295" s="1" t="s">
        <v>12</v>
      </c>
      <c r="C295" s="6">
        <v>33461</v>
      </c>
      <c r="D295" s="6">
        <v>42812</v>
      </c>
      <c r="E295" s="6"/>
      <c r="F295" s="1" t="s">
        <v>230</v>
      </c>
      <c r="G295" s="2">
        <v>82342</v>
      </c>
      <c r="H295" s="7">
        <v>1</v>
      </c>
      <c r="I295" s="7">
        <v>3</v>
      </c>
      <c r="J295" s="7">
        <v>3</v>
      </c>
      <c r="K295" s="7">
        <v>2</v>
      </c>
      <c r="L295" s="7">
        <v>2</v>
      </c>
    </row>
    <row r="296" spans="1:12" x14ac:dyDescent="0.55000000000000004">
      <c r="A296" s="3">
        <v>1238911510</v>
      </c>
      <c r="B296" s="1" t="s">
        <v>12</v>
      </c>
      <c r="C296" s="6">
        <v>33465</v>
      </c>
      <c r="D296" s="6">
        <v>40948</v>
      </c>
      <c r="E296" s="6"/>
      <c r="F296" s="1" t="s">
        <v>72</v>
      </c>
      <c r="G296" s="2">
        <v>66880.125</v>
      </c>
      <c r="H296" s="7">
        <v>2</v>
      </c>
      <c r="I296" s="7">
        <v>2</v>
      </c>
      <c r="J296" s="7">
        <v>2</v>
      </c>
      <c r="K296" s="7">
        <v>1</v>
      </c>
      <c r="L296" s="7">
        <v>1</v>
      </c>
    </row>
    <row r="297" spans="1:12" x14ac:dyDescent="0.55000000000000004">
      <c r="A297" s="3">
        <v>1238911511</v>
      </c>
      <c r="B297" s="1" t="s">
        <v>12</v>
      </c>
      <c r="C297" s="6">
        <v>33487</v>
      </c>
      <c r="D297" s="6">
        <v>41524</v>
      </c>
      <c r="E297" s="6">
        <v>43992</v>
      </c>
      <c r="F297" s="1" t="s">
        <v>157</v>
      </c>
      <c r="G297" s="2">
        <v>96250</v>
      </c>
      <c r="H297" s="7">
        <v>3</v>
      </c>
      <c r="I297" s="7">
        <v>2</v>
      </c>
      <c r="J297" s="7">
        <v>2</v>
      </c>
      <c r="K297" s="7">
        <v>3</v>
      </c>
      <c r="L297" s="7">
        <v>3</v>
      </c>
    </row>
    <row r="298" spans="1:12" x14ac:dyDescent="0.55000000000000004">
      <c r="A298" s="3">
        <v>1238911513</v>
      </c>
      <c r="B298" s="1" t="s">
        <v>12</v>
      </c>
      <c r="C298" s="6">
        <v>33495</v>
      </c>
      <c r="D298" s="6">
        <v>44606</v>
      </c>
      <c r="E298" s="6"/>
      <c r="F298" s="1" t="s">
        <v>231</v>
      </c>
      <c r="G298" s="2">
        <v>66300</v>
      </c>
      <c r="H298" s="7">
        <v>2</v>
      </c>
      <c r="I298" s="7">
        <v>2</v>
      </c>
      <c r="J298" s="7">
        <v>3</v>
      </c>
      <c r="K298" s="7">
        <v>3</v>
      </c>
      <c r="L298" s="7">
        <v>2</v>
      </c>
    </row>
    <row r="299" spans="1:12" x14ac:dyDescent="0.55000000000000004">
      <c r="A299" s="3">
        <v>1238911514</v>
      </c>
      <c r="B299" s="1" t="s">
        <v>12</v>
      </c>
      <c r="C299" s="6">
        <v>33503</v>
      </c>
      <c r="D299" s="6">
        <v>43934</v>
      </c>
      <c r="E299" s="6"/>
      <c r="F299" s="1" t="s">
        <v>232</v>
      </c>
      <c r="G299" s="2">
        <v>96252</v>
      </c>
      <c r="H299" s="7">
        <v>1</v>
      </c>
      <c r="I299" s="7">
        <v>3</v>
      </c>
      <c r="J299" s="7">
        <v>1</v>
      </c>
      <c r="K299" s="7">
        <v>1</v>
      </c>
      <c r="L299" s="7">
        <v>1</v>
      </c>
    </row>
    <row r="300" spans="1:12" x14ac:dyDescent="0.55000000000000004">
      <c r="A300" s="3">
        <v>1238911520</v>
      </c>
      <c r="B300" s="1" t="s">
        <v>12</v>
      </c>
      <c r="C300" s="6">
        <v>33539</v>
      </c>
      <c r="D300" s="6">
        <v>43462</v>
      </c>
      <c r="E300" s="6"/>
      <c r="F300" s="1" t="s">
        <v>136</v>
      </c>
      <c r="G300" s="2">
        <v>82500</v>
      </c>
      <c r="H300" s="7">
        <v>2</v>
      </c>
      <c r="I300" s="7">
        <v>3</v>
      </c>
      <c r="J300" s="7">
        <v>3</v>
      </c>
      <c r="K300" s="7">
        <v>3</v>
      </c>
      <c r="L300" s="7">
        <v>2</v>
      </c>
    </row>
    <row r="301" spans="1:12" x14ac:dyDescent="0.55000000000000004">
      <c r="A301" s="3">
        <v>1238911521</v>
      </c>
      <c r="B301" s="1" t="s">
        <v>12</v>
      </c>
      <c r="C301" s="6">
        <v>33543</v>
      </c>
      <c r="D301" s="6">
        <v>42860</v>
      </c>
      <c r="E301" s="6"/>
      <c r="F301" s="1" t="s">
        <v>63</v>
      </c>
      <c r="G301" s="2">
        <v>97479.2</v>
      </c>
      <c r="H301" s="7">
        <v>3</v>
      </c>
      <c r="I301" s="7">
        <v>2</v>
      </c>
      <c r="J301" s="7">
        <v>3</v>
      </c>
      <c r="K301" s="7">
        <v>3</v>
      </c>
      <c r="L301" s="7">
        <v>3</v>
      </c>
    </row>
    <row r="302" spans="1:12" x14ac:dyDescent="0.55000000000000004">
      <c r="A302" s="3">
        <v>1238911522</v>
      </c>
      <c r="B302" s="1" t="s">
        <v>12</v>
      </c>
      <c r="C302" s="6">
        <v>33562</v>
      </c>
      <c r="D302" s="6">
        <v>42053</v>
      </c>
      <c r="E302" s="6"/>
      <c r="F302" s="1" t="s">
        <v>235</v>
      </c>
      <c r="G302" s="2">
        <v>81250</v>
      </c>
      <c r="H302" s="7">
        <v>2</v>
      </c>
      <c r="I302" s="7">
        <v>2</v>
      </c>
      <c r="J302" s="7">
        <v>2</v>
      </c>
      <c r="K302" s="7">
        <v>3</v>
      </c>
      <c r="L302" s="7">
        <v>2</v>
      </c>
    </row>
    <row r="303" spans="1:12" x14ac:dyDescent="0.55000000000000004">
      <c r="A303" s="3">
        <v>1238911525</v>
      </c>
      <c r="B303" s="1" t="s">
        <v>12</v>
      </c>
      <c r="C303" s="6">
        <v>33578</v>
      </c>
      <c r="D303" s="6">
        <v>42554</v>
      </c>
      <c r="E303" s="6"/>
      <c r="F303" s="1" t="s">
        <v>238</v>
      </c>
      <c r="G303" s="2">
        <v>75113.75</v>
      </c>
      <c r="H303" s="7">
        <v>1</v>
      </c>
      <c r="I303" s="7">
        <v>2</v>
      </c>
      <c r="J303" s="7">
        <v>2</v>
      </c>
      <c r="K303" s="7">
        <v>3</v>
      </c>
      <c r="L303" s="7">
        <v>3</v>
      </c>
    </row>
    <row r="304" spans="1:12" x14ac:dyDescent="0.55000000000000004">
      <c r="A304" s="3">
        <v>1238911529</v>
      </c>
      <c r="B304" s="1" t="s">
        <v>12</v>
      </c>
      <c r="C304" s="6">
        <v>33627</v>
      </c>
      <c r="D304" s="6">
        <v>42846</v>
      </c>
      <c r="E304" s="6"/>
      <c r="F304" s="1" t="s">
        <v>74</v>
      </c>
      <c r="G304" s="2">
        <v>49997.5</v>
      </c>
      <c r="H304" s="7">
        <v>2</v>
      </c>
      <c r="I304" s="7">
        <v>1</v>
      </c>
      <c r="J304" s="7">
        <v>2</v>
      </c>
      <c r="K304" s="7">
        <v>3</v>
      </c>
      <c r="L304" s="7">
        <v>1</v>
      </c>
    </row>
    <row r="305" spans="1:12" x14ac:dyDescent="0.55000000000000004">
      <c r="A305" s="3">
        <v>1238911530</v>
      </c>
      <c r="B305" s="1" t="s">
        <v>12</v>
      </c>
      <c r="C305" s="6">
        <v>33754</v>
      </c>
      <c r="D305" s="6">
        <v>42672</v>
      </c>
      <c r="E305" s="6"/>
      <c r="F305" s="1" t="s">
        <v>136</v>
      </c>
      <c r="G305" s="2">
        <v>97838</v>
      </c>
      <c r="H305" s="7">
        <v>2</v>
      </c>
      <c r="I305" s="7">
        <v>2</v>
      </c>
      <c r="J305" s="7">
        <v>3</v>
      </c>
      <c r="K305" s="7">
        <v>3</v>
      </c>
      <c r="L305" s="7">
        <v>1</v>
      </c>
    </row>
    <row r="306" spans="1:12" x14ac:dyDescent="0.55000000000000004">
      <c r="A306" s="3">
        <v>1238911531</v>
      </c>
      <c r="B306" s="1" t="s">
        <v>12</v>
      </c>
      <c r="C306" s="6">
        <v>33627</v>
      </c>
      <c r="D306" s="6">
        <v>42841</v>
      </c>
      <c r="E306" s="6"/>
      <c r="F306" s="1" t="s">
        <v>74</v>
      </c>
      <c r="G306" s="2">
        <v>49997.5</v>
      </c>
      <c r="H306" s="7">
        <v>2</v>
      </c>
      <c r="I306" s="7">
        <v>1</v>
      </c>
      <c r="J306" s="7">
        <v>1</v>
      </c>
      <c r="K306" s="7">
        <v>3</v>
      </c>
      <c r="L306" s="7">
        <v>1</v>
      </c>
    </row>
    <row r="307" spans="1:12" x14ac:dyDescent="0.55000000000000004">
      <c r="A307" s="3">
        <v>1238911532</v>
      </c>
      <c r="B307" s="1" t="s">
        <v>12</v>
      </c>
      <c r="C307" s="6">
        <v>33629</v>
      </c>
      <c r="D307" s="6">
        <v>41750</v>
      </c>
      <c r="E307" s="6"/>
      <c r="F307" s="1" t="s">
        <v>118</v>
      </c>
      <c r="G307" s="2">
        <v>48948.387499999997</v>
      </c>
      <c r="H307" s="7">
        <v>2</v>
      </c>
      <c r="I307" s="7">
        <v>1</v>
      </c>
      <c r="J307" s="7">
        <v>2</v>
      </c>
      <c r="K307" s="7">
        <v>3</v>
      </c>
      <c r="L307" s="7">
        <v>3</v>
      </c>
    </row>
    <row r="308" spans="1:12" x14ac:dyDescent="0.55000000000000004">
      <c r="A308" s="3">
        <v>1238911534</v>
      </c>
      <c r="B308" s="1" t="s">
        <v>12</v>
      </c>
      <c r="C308" s="6">
        <v>32507</v>
      </c>
      <c r="D308" s="6">
        <v>44873</v>
      </c>
      <c r="E308" s="6"/>
      <c r="F308" s="1" t="s">
        <v>136</v>
      </c>
      <c r="G308" s="2">
        <v>79924</v>
      </c>
      <c r="H308" s="7">
        <v>2</v>
      </c>
      <c r="I308" s="7">
        <v>2</v>
      </c>
      <c r="J308" s="7">
        <v>2</v>
      </c>
      <c r="K308" s="7">
        <v>2</v>
      </c>
      <c r="L308" s="7">
        <v>1</v>
      </c>
    </row>
    <row r="309" spans="1:12" x14ac:dyDescent="0.55000000000000004">
      <c r="A309" s="3">
        <v>1238911535</v>
      </c>
      <c r="B309" s="1" t="s">
        <v>12</v>
      </c>
      <c r="C309" s="6">
        <v>33657</v>
      </c>
      <c r="D309" s="6">
        <v>44873</v>
      </c>
      <c r="E309" s="6">
        <v>45198</v>
      </c>
      <c r="F309" s="1" t="s">
        <v>136</v>
      </c>
      <c r="G309" s="2">
        <v>79924</v>
      </c>
      <c r="H309" s="7">
        <v>3</v>
      </c>
      <c r="I309" s="7">
        <v>3</v>
      </c>
      <c r="J309" s="7">
        <v>1</v>
      </c>
      <c r="K309" s="7">
        <v>3</v>
      </c>
      <c r="L309" s="7">
        <v>2</v>
      </c>
    </row>
    <row r="310" spans="1:12" x14ac:dyDescent="0.55000000000000004">
      <c r="A310" s="3">
        <v>1238911536</v>
      </c>
      <c r="B310" s="1" t="s">
        <v>12</v>
      </c>
      <c r="C310" s="6">
        <v>33689</v>
      </c>
      <c r="D310" s="6">
        <v>44341</v>
      </c>
      <c r="E310" s="6"/>
      <c r="F310" s="1" t="s">
        <v>241</v>
      </c>
      <c r="G310" s="2">
        <v>60445</v>
      </c>
      <c r="H310" s="7">
        <v>2</v>
      </c>
      <c r="I310" s="7">
        <v>3</v>
      </c>
      <c r="J310" s="7">
        <v>3</v>
      </c>
      <c r="K310" s="7">
        <v>1</v>
      </c>
      <c r="L310" s="7">
        <v>2</v>
      </c>
    </row>
    <row r="311" spans="1:12" x14ac:dyDescent="0.55000000000000004">
      <c r="A311" s="3">
        <v>1238911540</v>
      </c>
      <c r="B311" s="1" t="s">
        <v>12</v>
      </c>
      <c r="C311" s="6">
        <v>33716</v>
      </c>
      <c r="D311" s="6">
        <v>42925</v>
      </c>
      <c r="E311" s="6"/>
      <c r="F311" s="1" t="s">
        <v>74</v>
      </c>
      <c r="G311" s="2">
        <v>49997.5</v>
      </c>
      <c r="H311" s="7">
        <v>3</v>
      </c>
      <c r="I311" s="7">
        <v>1</v>
      </c>
      <c r="J311" s="7">
        <v>1</v>
      </c>
      <c r="K311" s="7">
        <v>1</v>
      </c>
      <c r="L311" s="7">
        <v>2</v>
      </c>
    </row>
    <row r="312" spans="1:12" x14ac:dyDescent="0.55000000000000004">
      <c r="A312" s="3">
        <v>1238911543</v>
      </c>
      <c r="B312" s="1" t="s">
        <v>12</v>
      </c>
      <c r="C312" s="6">
        <v>33731</v>
      </c>
      <c r="D312" s="6">
        <v>44190</v>
      </c>
      <c r="E312" s="6"/>
      <c r="F312" s="1" t="s">
        <v>244</v>
      </c>
      <c r="G312" s="2">
        <v>51740</v>
      </c>
      <c r="H312" s="7">
        <v>3</v>
      </c>
      <c r="I312" s="7">
        <v>1</v>
      </c>
      <c r="J312" s="7">
        <v>3</v>
      </c>
      <c r="K312" s="7">
        <v>1</v>
      </c>
      <c r="L312" s="7">
        <v>3</v>
      </c>
    </row>
    <row r="313" spans="1:12" x14ac:dyDescent="0.55000000000000004">
      <c r="A313" s="3">
        <v>1238911544</v>
      </c>
      <c r="B313" s="1" t="s">
        <v>12</v>
      </c>
      <c r="C313" s="6">
        <v>33753</v>
      </c>
      <c r="D313" s="6">
        <v>45112</v>
      </c>
      <c r="E313" s="6"/>
      <c r="F313" s="1" t="s">
        <v>187</v>
      </c>
      <c r="G313" s="2">
        <v>81250</v>
      </c>
      <c r="H313" s="7">
        <v>1</v>
      </c>
      <c r="I313" s="7">
        <v>2</v>
      </c>
      <c r="J313" s="7">
        <v>3</v>
      </c>
      <c r="K313" s="7">
        <v>1</v>
      </c>
      <c r="L313" s="7">
        <v>3</v>
      </c>
    </row>
    <row r="314" spans="1:12" x14ac:dyDescent="0.55000000000000004">
      <c r="A314" s="3">
        <v>1238911545</v>
      </c>
      <c r="B314" s="1" t="s">
        <v>12</v>
      </c>
      <c r="C314" s="6">
        <v>33779</v>
      </c>
      <c r="D314" s="6">
        <v>41779</v>
      </c>
      <c r="E314" s="6"/>
      <c r="F314" s="1" t="s">
        <v>136</v>
      </c>
      <c r="G314" s="2">
        <v>90750</v>
      </c>
      <c r="H314" s="7">
        <v>2</v>
      </c>
      <c r="I314" s="7">
        <v>3</v>
      </c>
      <c r="J314" s="7">
        <v>3</v>
      </c>
      <c r="K314" s="7">
        <v>1</v>
      </c>
      <c r="L314" s="7">
        <v>1</v>
      </c>
    </row>
    <row r="315" spans="1:12" x14ac:dyDescent="0.55000000000000004">
      <c r="A315" s="3">
        <v>1238911546</v>
      </c>
      <c r="B315" s="1" t="s">
        <v>12</v>
      </c>
      <c r="C315" s="6">
        <v>32781</v>
      </c>
      <c r="D315" s="6">
        <v>42442</v>
      </c>
      <c r="E315" s="6"/>
      <c r="F315" s="1" t="s">
        <v>138</v>
      </c>
      <c r="G315" s="2">
        <v>89223.875</v>
      </c>
      <c r="H315" s="7">
        <v>3</v>
      </c>
      <c r="I315" s="7">
        <v>1</v>
      </c>
      <c r="J315" s="7">
        <v>2</v>
      </c>
      <c r="K315" s="7">
        <v>3</v>
      </c>
      <c r="L315" s="7">
        <v>3</v>
      </c>
    </row>
    <row r="316" spans="1:12" x14ac:dyDescent="0.55000000000000004">
      <c r="A316" s="3">
        <v>1238911547</v>
      </c>
      <c r="B316" s="1" t="s">
        <v>12</v>
      </c>
      <c r="C316" s="6">
        <v>33786</v>
      </c>
      <c r="D316" s="6">
        <v>42731</v>
      </c>
      <c r="E316" s="6"/>
      <c r="F316" s="1" t="s">
        <v>138</v>
      </c>
      <c r="G316" s="2">
        <v>89223.875</v>
      </c>
      <c r="H316" s="7">
        <v>3</v>
      </c>
      <c r="I316" s="7">
        <v>1</v>
      </c>
      <c r="J316" s="7">
        <v>2</v>
      </c>
      <c r="K316" s="7">
        <v>3</v>
      </c>
      <c r="L316" s="7">
        <v>2</v>
      </c>
    </row>
    <row r="317" spans="1:12" x14ac:dyDescent="0.55000000000000004">
      <c r="A317" s="3">
        <v>1238911549</v>
      </c>
      <c r="B317" s="1" t="s">
        <v>12</v>
      </c>
      <c r="C317" s="6">
        <v>33804</v>
      </c>
      <c r="D317" s="6">
        <v>42957</v>
      </c>
      <c r="E317" s="6"/>
      <c r="F317" s="1" t="s">
        <v>246</v>
      </c>
      <c r="G317" s="2">
        <v>59678.125</v>
      </c>
      <c r="H317" s="7">
        <v>2</v>
      </c>
      <c r="I317" s="7">
        <v>3</v>
      </c>
      <c r="J317" s="7">
        <v>1</v>
      </c>
      <c r="K317" s="7">
        <v>2</v>
      </c>
      <c r="L317" s="7">
        <v>1</v>
      </c>
    </row>
    <row r="318" spans="1:12" x14ac:dyDescent="0.55000000000000004">
      <c r="A318" s="3">
        <v>1238911553</v>
      </c>
      <c r="B318" s="1" t="s">
        <v>12</v>
      </c>
      <c r="C318" s="6">
        <v>33888</v>
      </c>
      <c r="D318" s="6">
        <v>42729</v>
      </c>
      <c r="E318" s="6"/>
      <c r="F318" s="1" t="s">
        <v>58</v>
      </c>
      <c r="G318" s="2">
        <v>32343.75</v>
      </c>
      <c r="H318" s="7">
        <v>1</v>
      </c>
      <c r="I318" s="7">
        <v>1</v>
      </c>
      <c r="J318" s="7">
        <v>2</v>
      </c>
      <c r="K318" s="7">
        <v>1</v>
      </c>
      <c r="L318" s="7">
        <v>3</v>
      </c>
    </row>
    <row r="319" spans="1:12" x14ac:dyDescent="0.55000000000000004">
      <c r="A319" s="3">
        <v>1238911554</v>
      </c>
      <c r="B319" s="1" t="s">
        <v>12</v>
      </c>
      <c r="C319" s="6">
        <v>34336</v>
      </c>
      <c r="D319" s="6">
        <v>43828</v>
      </c>
      <c r="E319" s="6"/>
      <c r="F319" s="1" t="s">
        <v>58</v>
      </c>
      <c r="G319" s="2">
        <v>32343.75</v>
      </c>
      <c r="H319" s="7">
        <v>1</v>
      </c>
      <c r="I319" s="7">
        <v>2</v>
      </c>
      <c r="J319" s="7">
        <v>2</v>
      </c>
      <c r="K319" s="7">
        <v>2</v>
      </c>
      <c r="L319" s="7">
        <v>1</v>
      </c>
    </row>
    <row r="320" spans="1:12" x14ac:dyDescent="0.55000000000000004">
      <c r="A320" s="3">
        <v>1238911555</v>
      </c>
      <c r="B320" s="1" t="s">
        <v>12</v>
      </c>
      <c r="C320" s="6">
        <v>33904</v>
      </c>
      <c r="D320" s="6">
        <v>44023</v>
      </c>
      <c r="E320" s="6"/>
      <c r="F320" s="1" t="s">
        <v>157</v>
      </c>
      <c r="G320" s="2">
        <v>91884</v>
      </c>
      <c r="H320" s="7">
        <v>2</v>
      </c>
      <c r="I320" s="7">
        <v>3</v>
      </c>
      <c r="J320" s="7">
        <v>1</v>
      </c>
      <c r="K320" s="7">
        <v>1</v>
      </c>
      <c r="L320" s="7">
        <v>1</v>
      </c>
    </row>
    <row r="321" spans="1:12" x14ac:dyDescent="0.55000000000000004">
      <c r="A321" s="3">
        <v>1238911556</v>
      </c>
      <c r="B321" s="1" t="s">
        <v>12</v>
      </c>
      <c r="C321" s="6">
        <v>33915</v>
      </c>
      <c r="D321" s="6">
        <v>43397</v>
      </c>
      <c r="E321" s="6"/>
      <c r="F321" s="1" t="s">
        <v>100</v>
      </c>
      <c r="G321" s="2">
        <v>99137.35</v>
      </c>
      <c r="H321" s="7">
        <v>2</v>
      </c>
      <c r="I321" s="7">
        <v>3</v>
      </c>
      <c r="J321" s="7">
        <v>1</v>
      </c>
      <c r="K321" s="7">
        <v>3</v>
      </c>
      <c r="L321" s="7">
        <v>2</v>
      </c>
    </row>
    <row r="322" spans="1:12" x14ac:dyDescent="0.55000000000000004">
      <c r="A322" s="3">
        <v>1238911558</v>
      </c>
      <c r="B322" s="1" t="s">
        <v>12</v>
      </c>
      <c r="C322" s="6">
        <v>33945</v>
      </c>
      <c r="D322" s="6">
        <v>41626</v>
      </c>
      <c r="E322" s="6"/>
      <c r="F322" s="1" t="s">
        <v>248</v>
      </c>
      <c r="G322" s="2">
        <v>68750</v>
      </c>
      <c r="H322" s="7">
        <v>3</v>
      </c>
      <c r="I322" s="7">
        <v>3</v>
      </c>
      <c r="J322" s="7">
        <v>2</v>
      </c>
      <c r="K322" s="7">
        <v>2</v>
      </c>
      <c r="L322" s="7">
        <v>1</v>
      </c>
    </row>
    <row r="323" spans="1:12" x14ac:dyDescent="0.55000000000000004">
      <c r="A323" s="3">
        <v>1238911561</v>
      </c>
      <c r="B323" s="1" t="s">
        <v>12</v>
      </c>
      <c r="C323" s="6">
        <v>33981</v>
      </c>
      <c r="D323" s="6">
        <v>41124</v>
      </c>
      <c r="E323" s="6"/>
      <c r="F323" s="1" t="s">
        <v>191</v>
      </c>
      <c r="G323" s="2">
        <v>80886</v>
      </c>
      <c r="H323" s="7">
        <v>2</v>
      </c>
      <c r="I323" s="7">
        <v>3</v>
      </c>
      <c r="J323" s="7">
        <v>2</v>
      </c>
      <c r="K323" s="7">
        <v>1</v>
      </c>
      <c r="L323" s="7">
        <v>3</v>
      </c>
    </row>
    <row r="324" spans="1:12" x14ac:dyDescent="0.55000000000000004">
      <c r="A324" s="3">
        <v>1238911562</v>
      </c>
      <c r="B324" s="1" t="s">
        <v>12</v>
      </c>
      <c r="C324" s="6">
        <v>33986</v>
      </c>
      <c r="D324" s="6">
        <v>41088</v>
      </c>
      <c r="E324" s="6"/>
      <c r="F324" s="1" t="s">
        <v>250</v>
      </c>
      <c r="G324" s="2">
        <v>60242</v>
      </c>
      <c r="H324" s="7">
        <v>3</v>
      </c>
      <c r="I324" s="7">
        <v>1</v>
      </c>
      <c r="J324" s="7">
        <v>2</v>
      </c>
      <c r="K324" s="7">
        <v>2</v>
      </c>
      <c r="L324" s="7">
        <v>1</v>
      </c>
    </row>
    <row r="325" spans="1:12" x14ac:dyDescent="0.55000000000000004">
      <c r="A325" s="3">
        <v>1238911563</v>
      </c>
      <c r="B325" s="1" t="s">
        <v>12</v>
      </c>
      <c r="C325" s="6">
        <v>34084</v>
      </c>
      <c r="D325" s="6">
        <v>42424</v>
      </c>
      <c r="E325" s="6">
        <v>45217</v>
      </c>
      <c r="F325" s="1" t="s">
        <v>251</v>
      </c>
      <c r="G325" s="2">
        <v>51064</v>
      </c>
      <c r="H325" s="7">
        <v>3</v>
      </c>
      <c r="I325" s="7">
        <v>1</v>
      </c>
      <c r="J325" s="7">
        <v>2</v>
      </c>
      <c r="K325" s="7">
        <v>2</v>
      </c>
      <c r="L325" s="7">
        <v>3</v>
      </c>
    </row>
    <row r="326" spans="1:12" x14ac:dyDescent="0.55000000000000004">
      <c r="A326" s="3">
        <v>1238911566</v>
      </c>
      <c r="B326" s="1" t="s">
        <v>12</v>
      </c>
      <c r="C326" s="6">
        <v>34109</v>
      </c>
      <c r="D326" s="6">
        <v>44178</v>
      </c>
      <c r="E326" s="6"/>
      <c r="F326" s="1" t="s">
        <v>136</v>
      </c>
      <c r="G326" s="2">
        <v>87500</v>
      </c>
      <c r="H326" s="7">
        <v>2</v>
      </c>
      <c r="I326" s="7">
        <v>1</v>
      </c>
      <c r="J326" s="7">
        <v>3</v>
      </c>
      <c r="K326" s="7">
        <v>2</v>
      </c>
      <c r="L326" s="7">
        <v>2</v>
      </c>
    </row>
    <row r="327" spans="1:12" x14ac:dyDescent="0.55000000000000004">
      <c r="A327" s="3">
        <v>1238911567</v>
      </c>
      <c r="B327" s="1" t="s">
        <v>12</v>
      </c>
      <c r="C327" s="6">
        <v>34136</v>
      </c>
      <c r="D327" s="6">
        <v>43697</v>
      </c>
      <c r="E327" s="6">
        <v>45756</v>
      </c>
      <c r="F327" s="1" t="s">
        <v>136</v>
      </c>
      <c r="G327" s="2">
        <v>90000</v>
      </c>
      <c r="H327" s="7">
        <v>3</v>
      </c>
      <c r="I327" s="7">
        <v>1</v>
      </c>
      <c r="J327" s="7">
        <v>3</v>
      </c>
      <c r="K327" s="7">
        <v>2</v>
      </c>
      <c r="L327" s="7">
        <v>2</v>
      </c>
    </row>
    <row r="328" spans="1:12" x14ac:dyDescent="0.55000000000000004">
      <c r="A328" s="3">
        <v>1238911570</v>
      </c>
      <c r="B328" s="1" t="s">
        <v>12</v>
      </c>
      <c r="C328" s="6">
        <v>34170</v>
      </c>
      <c r="D328" s="6">
        <v>42144</v>
      </c>
      <c r="E328" s="6"/>
      <c r="F328" s="1" t="s">
        <v>74</v>
      </c>
      <c r="G328" s="2">
        <v>50239.95</v>
      </c>
      <c r="H328" s="7">
        <v>3</v>
      </c>
      <c r="I328" s="7">
        <v>2</v>
      </c>
      <c r="J328" s="7">
        <v>1</v>
      </c>
      <c r="K328" s="7">
        <v>1</v>
      </c>
      <c r="L328" s="7">
        <v>3</v>
      </c>
    </row>
    <row r="329" spans="1:12" x14ac:dyDescent="0.55000000000000004">
      <c r="A329" s="3">
        <v>1238911573</v>
      </c>
      <c r="B329" s="1" t="s">
        <v>12</v>
      </c>
      <c r="C329" s="6">
        <v>34195</v>
      </c>
      <c r="D329" s="6">
        <v>43188</v>
      </c>
      <c r="E329" s="6"/>
      <c r="F329" s="1" t="s">
        <v>256</v>
      </c>
      <c r="G329" s="2">
        <v>107000.075</v>
      </c>
      <c r="H329" s="7">
        <v>2</v>
      </c>
      <c r="I329" s="7">
        <v>2</v>
      </c>
      <c r="J329" s="7">
        <v>3</v>
      </c>
      <c r="K329" s="7">
        <v>2</v>
      </c>
      <c r="L329" s="7">
        <v>3</v>
      </c>
    </row>
    <row r="330" spans="1:12" x14ac:dyDescent="0.55000000000000004">
      <c r="A330" s="3">
        <v>1238911574</v>
      </c>
      <c r="B330" s="1" t="s">
        <v>12</v>
      </c>
      <c r="C330" s="6">
        <v>34249</v>
      </c>
      <c r="D330" s="6">
        <v>41539</v>
      </c>
      <c r="E330" s="6"/>
      <c r="F330" s="1" t="s">
        <v>257</v>
      </c>
      <c r="G330" s="2">
        <v>90000</v>
      </c>
      <c r="H330" s="7">
        <v>1</v>
      </c>
      <c r="I330" s="7">
        <v>2</v>
      </c>
      <c r="J330" s="7">
        <v>2</v>
      </c>
      <c r="K330" s="7">
        <v>2</v>
      </c>
      <c r="L330" s="7">
        <v>3</v>
      </c>
    </row>
    <row r="331" spans="1:12" x14ac:dyDescent="0.55000000000000004">
      <c r="A331" s="3">
        <v>1238911575</v>
      </c>
      <c r="B331" s="1" t="s">
        <v>12</v>
      </c>
      <c r="C331" s="6">
        <v>34259</v>
      </c>
      <c r="D331" s="6">
        <v>41952</v>
      </c>
      <c r="E331" s="6"/>
      <c r="F331" s="1" t="s">
        <v>258</v>
      </c>
      <c r="G331" s="2">
        <v>91428.75</v>
      </c>
      <c r="H331" s="7">
        <v>3</v>
      </c>
      <c r="I331" s="7">
        <v>2</v>
      </c>
      <c r="J331" s="7">
        <v>2</v>
      </c>
      <c r="K331" s="7">
        <v>3</v>
      </c>
      <c r="L331" s="7">
        <v>1</v>
      </c>
    </row>
    <row r="332" spans="1:12" x14ac:dyDescent="0.55000000000000004">
      <c r="A332" s="3">
        <v>1238911576</v>
      </c>
      <c r="B332" s="1" t="s">
        <v>12</v>
      </c>
      <c r="C332" s="6">
        <v>34263</v>
      </c>
      <c r="D332" s="6">
        <v>43898</v>
      </c>
      <c r="E332" s="6"/>
      <c r="F332" s="1" t="s">
        <v>157</v>
      </c>
      <c r="G332" s="2">
        <v>90012.5</v>
      </c>
      <c r="H332" s="7">
        <v>2</v>
      </c>
      <c r="I332" s="7">
        <v>2</v>
      </c>
      <c r="J332" s="7">
        <v>2</v>
      </c>
      <c r="K332" s="7">
        <v>2</v>
      </c>
      <c r="L332" s="7">
        <v>2</v>
      </c>
    </row>
    <row r="333" spans="1:12" x14ac:dyDescent="0.55000000000000004">
      <c r="A333" s="3">
        <v>1238911580</v>
      </c>
      <c r="B333" s="1" t="s">
        <v>12</v>
      </c>
      <c r="C333" s="6">
        <v>34288</v>
      </c>
      <c r="D333" s="6">
        <v>43740</v>
      </c>
      <c r="E333" s="6"/>
      <c r="F333" s="1" t="s">
        <v>68</v>
      </c>
      <c r="G333" s="2">
        <v>63201.25</v>
      </c>
      <c r="H333" s="7">
        <v>1</v>
      </c>
      <c r="I333" s="7">
        <v>3</v>
      </c>
      <c r="J333" s="7">
        <v>2</v>
      </c>
      <c r="K333" s="7">
        <v>1</v>
      </c>
      <c r="L333" s="7">
        <v>2</v>
      </c>
    </row>
    <row r="334" spans="1:12" x14ac:dyDescent="0.55000000000000004">
      <c r="A334" s="3">
        <v>1238911582</v>
      </c>
      <c r="B334" s="1" t="s">
        <v>12</v>
      </c>
      <c r="C334" s="6">
        <v>34351</v>
      </c>
      <c r="D334" s="6">
        <v>42162</v>
      </c>
      <c r="E334" s="6"/>
      <c r="F334" s="1" t="s">
        <v>259</v>
      </c>
      <c r="G334" s="2">
        <v>50076</v>
      </c>
      <c r="H334" s="7">
        <v>1</v>
      </c>
      <c r="I334" s="7">
        <v>3</v>
      </c>
      <c r="J334" s="7">
        <v>2</v>
      </c>
      <c r="K334" s="7">
        <v>2</v>
      </c>
      <c r="L334" s="7">
        <v>3</v>
      </c>
    </row>
    <row r="335" spans="1:12" x14ac:dyDescent="0.55000000000000004">
      <c r="A335" s="3">
        <v>1238911583</v>
      </c>
      <c r="B335" s="1" t="s">
        <v>12</v>
      </c>
      <c r="C335" s="6">
        <v>34356</v>
      </c>
      <c r="D335" s="6">
        <v>41976</v>
      </c>
      <c r="E335" s="6"/>
      <c r="F335" s="1" t="s">
        <v>260</v>
      </c>
      <c r="G335" s="2">
        <v>48698</v>
      </c>
      <c r="H335" s="7">
        <v>1</v>
      </c>
      <c r="I335" s="7">
        <v>2</v>
      </c>
      <c r="J335" s="7">
        <v>3</v>
      </c>
      <c r="K335" s="7">
        <v>1</v>
      </c>
      <c r="L335" s="7">
        <v>1</v>
      </c>
    </row>
    <row r="336" spans="1:12" x14ac:dyDescent="0.55000000000000004">
      <c r="A336" s="3">
        <v>1238911584</v>
      </c>
      <c r="B336" s="1" t="s">
        <v>12</v>
      </c>
      <c r="C336" s="6">
        <v>34364</v>
      </c>
      <c r="D336" s="6">
        <v>44650</v>
      </c>
      <c r="E336" s="6"/>
      <c r="F336" s="1" t="s">
        <v>63</v>
      </c>
      <c r="G336" s="2">
        <v>75000</v>
      </c>
      <c r="H336" s="7">
        <v>2</v>
      </c>
      <c r="I336" s="7">
        <v>3</v>
      </c>
      <c r="J336" s="7">
        <v>3</v>
      </c>
      <c r="K336" s="7">
        <v>2</v>
      </c>
      <c r="L336" s="7">
        <v>1</v>
      </c>
    </row>
    <row r="337" spans="1:12" x14ac:dyDescent="0.55000000000000004">
      <c r="A337" s="3">
        <v>1238911585</v>
      </c>
      <c r="B337" s="1" t="s">
        <v>12</v>
      </c>
      <c r="C337" s="6">
        <v>34426</v>
      </c>
      <c r="D337" s="6">
        <v>43041</v>
      </c>
      <c r="E337" s="6"/>
      <c r="F337" s="1" t="s">
        <v>261</v>
      </c>
      <c r="G337" s="2">
        <v>70746</v>
      </c>
      <c r="H337" s="7">
        <v>1</v>
      </c>
      <c r="I337" s="7">
        <v>3</v>
      </c>
      <c r="J337" s="7">
        <v>3</v>
      </c>
      <c r="K337" s="7">
        <v>2</v>
      </c>
      <c r="L337" s="7">
        <v>3</v>
      </c>
    </row>
    <row r="338" spans="1:12" x14ac:dyDescent="0.55000000000000004">
      <c r="A338" s="3">
        <v>1238911586</v>
      </c>
      <c r="B338" s="1" t="s">
        <v>12</v>
      </c>
      <c r="C338" s="6">
        <v>34374</v>
      </c>
      <c r="D338" s="6">
        <v>42494</v>
      </c>
      <c r="E338" s="6"/>
      <c r="F338" s="1" t="s">
        <v>262</v>
      </c>
      <c r="G338" s="2">
        <v>62773.100000000006</v>
      </c>
      <c r="H338" s="7">
        <v>3</v>
      </c>
      <c r="I338" s="7">
        <v>3</v>
      </c>
      <c r="J338" s="7">
        <v>3</v>
      </c>
      <c r="K338" s="7">
        <v>1</v>
      </c>
      <c r="L338" s="7">
        <v>1</v>
      </c>
    </row>
    <row r="339" spans="1:12" x14ac:dyDescent="0.55000000000000004">
      <c r="A339" s="3">
        <v>1238911587</v>
      </c>
      <c r="B339" s="1" t="s">
        <v>12</v>
      </c>
      <c r="C339" s="6">
        <v>36371</v>
      </c>
      <c r="D339" s="6">
        <v>43225</v>
      </c>
      <c r="E339" s="6"/>
      <c r="F339" s="1" t="s">
        <v>263</v>
      </c>
      <c r="G339" s="2">
        <v>40125</v>
      </c>
      <c r="H339" s="7">
        <v>2</v>
      </c>
      <c r="I339" s="7">
        <v>3</v>
      </c>
      <c r="J339" s="7">
        <v>3</v>
      </c>
      <c r="K339" s="7">
        <v>2</v>
      </c>
      <c r="L339" s="7">
        <v>1</v>
      </c>
    </row>
    <row r="340" spans="1:12" x14ac:dyDescent="0.55000000000000004">
      <c r="A340" s="3">
        <v>1238911588</v>
      </c>
      <c r="B340" s="1" t="s">
        <v>12</v>
      </c>
      <c r="C340" s="6">
        <v>34394</v>
      </c>
      <c r="D340" s="6">
        <v>43329</v>
      </c>
      <c r="E340" s="6"/>
      <c r="F340" s="1" t="s">
        <v>264</v>
      </c>
      <c r="G340" s="2">
        <v>68750</v>
      </c>
      <c r="H340" s="7">
        <v>1</v>
      </c>
      <c r="I340" s="7">
        <v>3</v>
      </c>
      <c r="J340" s="7">
        <v>1</v>
      </c>
      <c r="K340" s="7">
        <v>3</v>
      </c>
      <c r="L340" s="7">
        <v>3</v>
      </c>
    </row>
    <row r="341" spans="1:12" x14ac:dyDescent="0.55000000000000004">
      <c r="A341" s="3">
        <v>1238911589</v>
      </c>
      <c r="B341" s="1" t="s">
        <v>12</v>
      </c>
      <c r="C341" s="6">
        <v>34414</v>
      </c>
      <c r="D341" s="6">
        <v>41279</v>
      </c>
      <c r="E341" s="6"/>
      <c r="F341" s="1" t="s">
        <v>134</v>
      </c>
      <c r="G341" s="2">
        <v>59800</v>
      </c>
      <c r="H341" s="7">
        <v>3</v>
      </c>
      <c r="I341" s="7">
        <v>2</v>
      </c>
      <c r="J341" s="7">
        <v>2</v>
      </c>
      <c r="K341" s="7">
        <v>1</v>
      </c>
      <c r="L341" s="7">
        <v>1</v>
      </c>
    </row>
    <row r="342" spans="1:12" x14ac:dyDescent="0.55000000000000004">
      <c r="A342" s="3">
        <v>1238911590</v>
      </c>
      <c r="B342" s="1" t="s">
        <v>12</v>
      </c>
      <c r="C342" s="6">
        <v>34638</v>
      </c>
      <c r="D342" s="6">
        <v>42529</v>
      </c>
      <c r="E342" s="6"/>
      <c r="F342" s="1" t="s">
        <v>265</v>
      </c>
      <c r="G342" s="2">
        <v>52500</v>
      </c>
      <c r="H342" s="7">
        <v>2</v>
      </c>
      <c r="I342" s="7">
        <v>2</v>
      </c>
      <c r="J342" s="7">
        <v>1</v>
      </c>
      <c r="K342" s="7">
        <v>1</v>
      </c>
      <c r="L342" s="7">
        <v>3</v>
      </c>
    </row>
    <row r="343" spans="1:12" x14ac:dyDescent="0.55000000000000004">
      <c r="A343" s="3">
        <v>1238911592</v>
      </c>
      <c r="B343" s="1" t="s">
        <v>12</v>
      </c>
      <c r="C343" s="6">
        <v>34480</v>
      </c>
      <c r="D343" s="6">
        <v>41188</v>
      </c>
      <c r="E343" s="6"/>
      <c r="F343" s="1" t="s">
        <v>205</v>
      </c>
      <c r="G343" s="2">
        <v>62500</v>
      </c>
      <c r="H343" s="7">
        <v>2</v>
      </c>
      <c r="I343" s="7">
        <v>1</v>
      </c>
      <c r="J343" s="7">
        <v>3</v>
      </c>
      <c r="K343" s="7">
        <v>2</v>
      </c>
      <c r="L343" s="7">
        <v>1</v>
      </c>
    </row>
    <row r="344" spans="1:12" x14ac:dyDescent="0.55000000000000004">
      <c r="A344" s="3">
        <v>1238911593</v>
      </c>
      <c r="B344" s="1" t="s">
        <v>12</v>
      </c>
      <c r="C344" s="6">
        <v>34506</v>
      </c>
      <c r="D344" s="6">
        <v>44191</v>
      </c>
      <c r="E344" s="6"/>
      <c r="F344" s="1" t="s">
        <v>267</v>
      </c>
      <c r="G344" s="2">
        <v>67945.474999999991</v>
      </c>
      <c r="H344" s="7">
        <v>3</v>
      </c>
      <c r="I344" s="7">
        <v>1</v>
      </c>
      <c r="J344" s="7">
        <v>3</v>
      </c>
      <c r="K344" s="7">
        <v>3</v>
      </c>
      <c r="L344" s="7">
        <v>1</v>
      </c>
    </row>
    <row r="345" spans="1:12" x14ac:dyDescent="0.55000000000000004">
      <c r="A345" s="3">
        <v>1238911594</v>
      </c>
      <c r="B345" s="1" t="s">
        <v>12</v>
      </c>
      <c r="C345" s="6">
        <v>34424</v>
      </c>
      <c r="D345" s="6">
        <v>44211</v>
      </c>
      <c r="E345" s="6"/>
      <c r="F345" s="1" t="s">
        <v>267</v>
      </c>
      <c r="G345" s="2">
        <v>67945.474999999991</v>
      </c>
      <c r="H345" s="7">
        <v>1</v>
      </c>
      <c r="I345" s="7">
        <v>3</v>
      </c>
      <c r="J345" s="7">
        <v>1</v>
      </c>
      <c r="K345" s="7">
        <v>2</v>
      </c>
      <c r="L345" s="7">
        <v>2</v>
      </c>
    </row>
    <row r="346" spans="1:12" x14ac:dyDescent="0.55000000000000004">
      <c r="A346" s="3">
        <v>1238911598</v>
      </c>
      <c r="B346" s="1" t="s">
        <v>12</v>
      </c>
      <c r="C346" s="6">
        <v>34603</v>
      </c>
      <c r="D346" s="6">
        <v>43774</v>
      </c>
      <c r="E346" s="6"/>
      <c r="F346" s="1" t="s">
        <v>271</v>
      </c>
      <c r="G346" s="2">
        <v>96250.049999999988</v>
      </c>
      <c r="H346" s="7">
        <v>1</v>
      </c>
      <c r="I346" s="7">
        <v>2</v>
      </c>
      <c r="J346" s="7">
        <v>3</v>
      </c>
      <c r="K346" s="7">
        <v>1</v>
      </c>
      <c r="L346" s="7">
        <v>3</v>
      </c>
    </row>
    <row r="347" spans="1:12" x14ac:dyDescent="0.55000000000000004">
      <c r="A347" s="3">
        <v>1238911599</v>
      </c>
      <c r="B347" s="1" t="s">
        <v>12</v>
      </c>
      <c r="C347" s="6">
        <v>34634</v>
      </c>
      <c r="D347" s="6">
        <v>43004</v>
      </c>
      <c r="E347" s="6"/>
      <c r="F347" s="1" t="s">
        <v>134</v>
      </c>
      <c r="G347" s="2">
        <v>56250</v>
      </c>
      <c r="H347" s="7">
        <v>2</v>
      </c>
      <c r="I347" s="7">
        <v>1</v>
      </c>
      <c r="J347" s="7">
        <v>3</v>
      </c>
      <c r="K347" s="7">
        <v>1</v>
      </c>
      <c r="L347" s="7">
        <v>1</v>
      </c>
    </row>
    <row r="348" spans="1:12" x14ac:dyDescent="0.55000000000000004">
      <c r="A348" s="3">
        <v>1238911603</v>
      </c>
      <c r="B348" s="1" t="s">
        <v>12</v>
      </c>
      <c r="C348" s="6">
        <v>34690</v>
      </c>
      <c r="D348" s="6">
        <v>41288</v>
      </c>
      <c r="E348" s="6"/>
      <c r="F348" s="1" t="s">
        <v>138</v>
      </c>
      <c r="G348" s="2">
        <v>83187.649999999994</v>
      </c>
      <c r="H348" s="7">
        <v>1</v>
      </c>
      <c r="I348" s="7">
        <v>2</v>
      </c>
      <c r="J348" s="7">
        <v>2</v>
      </c>
      <c r="K348" s="7">
        <v>3</v>
      </c>
      <c r="L348" s="7">
        <v>3</v>
      </c>
    </row>
    <row r="349" spans="1:12" x14ac:dyDescent="0.55000000000000004">
      <c r="A349" s="3">
        <v>1238911604</v>
      </c>
      <c r="B349" s="1" t="s">
        <v>12</v>
      </c>
      <c r="C349" s="6">
        <v>34702</v>
      </c>
      <c r="D349" s="6">
        <v>42822</v>
      </c>
      <c r="E349" s="6">
        <v>45784</v>
      </c>
      <c r="F349" s="1" t="s">
        <v>189</v>
      </c>
      <c r="G349" s="2">
        <v>52000</v>
      </c>
      <c r="H349" s="7">
        <v>1</v>
      </c>
      <c r="I349" s="7">
        <v>3</v>
      </c>
      <c r="J349" s="7">
        <v>1</v>
      </c>
      <c r="K349" s="7">
        <v>2</v>
      </c>
      <c r="L349" s="7">
        <v>1</v>
      </c>
    </row>
    <row r="350" spans="1:12" x14ac:dyDescent="0.55000000000000004">
      <c r="A350" s="3">
        <v>1238911605</v>
      </c>
      <c r="B350" s="1" t="s">
        <v>12</v>
      </c>
      <c r="C350" s="6">
        <v>34717</v>
      </c>
      <c r="D350" s="6">
        <v>42165</v>
      </c>
      <c r="E350" s="6"/>
      <c r="F350" s="1" t="s">
        <v>44</v>
      </c>
      <c r="G350" s="2">
        <v>35100</v>
      </c>
      <c r="H350" s="7">
        <v>3</v>
      </c>
      <c r="I350" s="7">
        <v>2</v>
      </c>
      <c r="J350" s="7">
        <v>3</v>
      </c>
      <c r="K350" s="7">
        <v>3</v>
      </c>
      <c r="L350" s="7">
        <v>3</v>
      </c>
    </row>
    <row r="351" spans="1:12" x14ac:dyDescent="0.55000000000000004">
      <c r="A351" s="3">
        <v>1238911606</v>
      </c>
      <c r="B351" s="1" t="s">
        <v>12</v>
      </c>
      <c r="C351" s="6">
        <v>34729</v>
      </c>
      <c r="D351" s="6">
        <v>41737</v>
      </c>
      <c r="E351" s="6"/>
      <c r="F351" s="1" t="s">
        <v>275</v>
      </c>
      <c r="G351" s="2">
        <v>78950</v>
      </c>
      <c r="H351" s="7">
        <v>3</v>
      </c>
      <c r="I351" s="7">
        <v>1</v>
      </c>
      <c r="J351" s="7">
        <v>3</v>
      </c>
      <c r="K351" s="7">
        <v>1</v>
      </c>
      <c r="L351" s="7">
        <v>2</v>
      </c>
    </row>
    <row r="352" spans="1:12" x14ac:dyDescent="0.55000000000000004">
      <c r="A352" s="3">
        <v>1238911608</v>
      </c>
      <c r="B352" s="1" t="s">
        <v>12</v>
      </c>
      <c r="C352" s="6">
        <v>34736</v>
      </c>
      <c r="D352" s="6">
        <v>42284</v>
      </c>
      <c r="E352" s="6">
        <v>44183</v>
      </c>
      <c r="F352" s="1" t="s">
        <v>277</v>
      </c>
      <c r="G352" s="2">
        <v>65005.85</v>
      </c>
      <c r="H352" s="7">
        <v>1</v>
      </c>
      <c r="I352" s="7">
        <v>3</v>
      </c>
      <c r="J352" s="7">
        <v>1</v>
      </c>
      <c r="K352" s="7">
        <v>3</v>
      </c>
      <c r="L352" s="7">
        <v>3</v>
      </c>
    </row>
    <row r="353" spans="1:12" x14ac:dyDescent="0.55000000000000004">
      <c r="A353" s="3">
        <v>1238911609</v>
      </c>
      <c r="B353" s="1" t="s">
        <v>12</v>
      </c>
      <c r="C353" s="6">
        <v>34773</v>
      </c>
      <c r="D353" s="6">
        <v>41388</v>
      </c>
      <c r="E353" s="6">
        <v>45672</v>
      </c>
      <c r="F353" s="1" t="s">
        <v>134</v>
      </c>
      <c r="G353" s="2">
        <v>59383.75</v>
      </c>
      <c r="H353" s="7">
        <v>3</v>
      </c>
      <c r="I353" s="7">
        <v>1</v>
      </c>
      <c r="J353" s="7">
        <v>1</v>
      </c>
      <c r="K353" s="7">
        <v>2</v>
      </c>
      <c r="L353" s="7">
        <v>1</v>
      </c>
    </row>
    <row r="354" spans="1:12" x14ac:dyDescent="0.55000000000000004">
      <c r="A354" s="3">
        <v>1238911610</v>
      </c>
      <c r="B354" s="1" t="s">
        <v>12</v>
      </c>
      <c r="C354" s="6">
        <v>34777</v>
      </c>
      <c r="D354" s="6">
        <v>41617</v>
      </c>
      <c r="E354" s="6">
        <v>44889</v>
      </c>
      <c r="F354" s="1" t="s">
        <v>191</v>
      </c>
      <c r="G354" s="2">
        <v>76726</v>
      </c>
      <c r="H354" s="7">
        <v>2</v>
      </c>
      <c r="I354" s="7">
        <v>2</v>
      </c>
      <c r="J354" s="7">
        <v>3</v>
      </c>
      <c r="K354" s="7">
        <v>1</v>
      </c>
      <c r="L354" s="7">
        <v>1</v>
      </c>
    </row>
    <row r="355" spans="1:12" x14ac:dyDescent="0.55000000000000004">
      <c r="A355" s="3">
        <v>1238911613</v>
      </c>
      <c r="B355" s="1" t="s">
        <v>12</v>
      </c>
      <c r="C355" s="6">
        <v>34857</v>
      </c>
      <c r="D355" s="6">
        <v>43383</v>
      </c>
      <c r="E355" s="6"/>
      <c r="F355" s="1" t="s">
        <v>208</v>
      </c>
      <c r="G355" s="2">
        <v>78753.75</v>
      </c>
      <c r="H355" s="7">
        <v>2</v>
      </c>
      <c r="I355" s="7">
        <v>2</v>
      </c>
      <c r="J355" s="7">
        <v>3</v>
      </c>
      <c r="K355" s="7">
        <v>2</v>
      </c>
      <c r="L355" s="7">
        <v>3</v>
      </c>
    </row>
    <row r="356" spans="1:12" x14ac:dyDescent="0.55000000000000004">
      <c r="A356" s="3">
        <v>1238911616</v>
      </c>
      <c r="B356" s="1" t="s">
        <v>12</v>
      </c>
      <c r="C356" s="6">
        <v>34919</v>
      </c>
      <c r="D356" s="6">
        <v>45147</v>
      </c>
      <c r="E356" s="6"/>
      <c r="F356" s="1" t="s">
        <v>44</v>
      </c>
      <c r="G356" s="2">
        <v>27300</v>
      </c>
      <c r="H356" s="7">
        <v>3</v>
      </c>
      <c r="I356" s="7">
        <v>1</v>
      </c>
      <c r="J356" s="7">
        <v>2</v>
      </c>
      <c r="K356" s="7">
        <v>1</v>
      </c>
      <c r="L356" s="7">
        <v>3</v>
      </c>
    </row>
    <row r="357" spans="1:12" x14ac:dyDescent="0.55000000000000004">
      <c r="A357" s="3">
        <v>1238911618</v>
      </c>
      <c r="B357" s="1" t="s">
        <v>12</v>
      </c>
      <c r="C357" s="6">
        <v>34910</v>
      </c>
      <c r="D357" s="6">
        <v>42490</v>
      </c>
      <c r="E357" s="6"/>
      <c r="F357" s="1" t="s">
        <v>280</v>
      </c>
      <c r="G357" s="2">
        <v>62500</v>
      </c>
      <c r="H357" s="7">
        <v>3</v>
      </c>
      <c r="I357" s="7">
        <v>2</v>
      </c>
      <c r="J357" s="7">
        <v>3</v>
      </c>
      <c r="K357" s="7">
        <v>3</v>
      </c>
      <c r="L357" s="7">
        <v>3</v>
      </c>
    </row>
    <row r="358" spans="1:12" x14ac:dyDescent="0.55000000000000004">
      <c r="A358" s="3">
        <v>1238911619</v>
      </c>
      <c r="B358" s="1" t="s">
        <v>12</v>
      </c>
      <c r="C358" s="6">
        <v>35805</v>
      </c>
      <c r="D358" s="6">
        <v>43120</v>
      </c>
      <c r="E358" s="6">
        <v>44790</v>
      </c>
      <c r="F358" s="1" t="s">
        <v>91</v>
      </c>
      <c r="G358" s="2">
        <v>49322.5</v>
      </c>
      <c r="H358" s="7">
        <v>1</v>
      </c>
      <c r="I358" s="7">
        <v>1</v>
      </c>
      <c r="J358" s="7">
        <v>1</v>
      </c>
      <c r="K358" s="7">
        <v>1</v>
      </c>
      <c r="L358" s="7">
        <v>3</v>
      </c>
    </row>
    <row r="359" spans="1:12" x14ac:dyDescent="0.55000000000000004">
      <c r="A359" s="3">
        <v>1238911620</v>
      </c>
      <c r="B359" s="1" t="s">
        <v>12</v>
      </c>
      <c r="C359" s="6">
        <v>34926</v>
      </c>
      <c r="D359" s="6">
        <v>43749</v>
      </c>
      <c r="E359" s="6"/>
      <c r="F359" s="1" t="s">
        <v>91</v>
      </c>
      <c r="G359" s="2">
        <v>49322.5</v>
      </c>
      <c r="H359" s="7">
        <v>2</v>
      </c>
      <c r="I359" s="7">
        <v>2</v>
      </c>
      <c r="J359" s="7">
        <v>3</v>
      </c>
      <c r="K359" s="7">
        <v>3</v>
      </c>
      <c r="L359" s="7">
        <v>1</v>
      </c>
    </row>
    <row r="360" spans="1:12" x14ac:dyDescent="0.55000000000000004">
      <c r="A360" s="3">
        <v>1238911622</v>
      </c>
      <c r="B360" s="1" t="s">
        <v>12</v>
      </c>
      <c r="C360" s="6">
        <v>34973</v>
      </c>
      <c r="D360" s="6">
        <v>44131</v>
      </c>
      <c r="E360" s="6">
        <v>44496</v>
      </c>
      <c r="F360" s="1" t="s">
        <v>63</v>
      </c>
      <c r="G360" s="2">
        <v>74022</v>
      </c>
      <c r="H360" s="7">
        <v>2</v>
      </c>
      <c r="I360" s="7">
        <v>2</v>
      </c>
      <c r="J360" s="7">
        <v>3</v>
      </c>
      <c r="K360" s="7">
        <v>3</v>
      </c>
      <c r="L360" s="7">
        <v>3</v>
      </c>
    </row>
    <row r="361" spans="1:12" x14ac:dyDescent="0.55000000000000004">
      <c r="A361" s="3">
        <v>1238911624</v>
      </c>
      <c r="B361" s="1" t="s">
        <v>12</v>
      </c>
      <c r="C361" s="6">
        <v>34945</v>
      </c>
      <c r="D361" s="6">
        <v>42015</v>
      </c>
      <c r="E361" s="6">
        <v>45520</v>
      </c>
      <c r="F361" s="1" t="s">
        <v>44</v>
      </c>
      <c r="G361" s="2">
        <v>42224</v>
      </c>
      <c r="H361" s="7">
        <v>3</v>
      </c>
      <c r="I361" s="7">
        <v>3</v>
      </c>
      <c r="J361" s="7">
        <v>3</v>
      </c>
      <c r="K361" s="7">
        <v>3</v>
      </c>
      <c r="L361" s="7">
        <v>3</v>
      </c>
    </row>
    <row r="362" spans="1:12" x14ac:dyDescent="0.55000000000000004">
      <c r="A362" s="3">
        <v>1238911626</v>
      </c>
      <c r="B362" s="1" t="s">
        <v>12</v>
      </c>
      <c r="C362" s="6">
        <v>34974</v>
      </c>
      <c r="D362" s="6">
        <v>42354</v>
      </c>
      <c r="E362" s="6"/>
      <c r="F362" s="1" t="s">
        <v>134</v>
      </c>
      <c r="G362" s="2">
        <v>65000</v>
      </c>
      <c r="H362" s="7">
        <v>3</v>
      </c>
      <c r="I362" s="7">
        <v>3</v>
      </c>
      <c r="J362" s="7">
        <v>2</v>
      </c>
      <c r="K362" s="7">
        <v>1</v>
      </c>
      <c r="L362" s="7">
        <v>2</v>
      </c>
    </row>
    <row r="363" spans="1:12" x14ac:dyDescent="0.55000000000000004">
      <c r="A363" s="3">
        <v>1238911628</v>
      </c>
      <c r="B363" s="1" t="s">
        <v>12</v>
      </c>
      <c r="C363" s="6">
        <v>35001</v>
      </c>
      <c r="D363" s="6">
        <v>45182</v>
      </c>
      <c r="E363" s="6">
        <v>45731</v>
      </c>
      <c r="F363" s="1" t="s">
        <v>161</v>
      </c>
      <c r="G363" s="2">
        <v>93750</v>
      </c>
      <c r="H363" s="7">
        <v>3</v>
      </c>
      <c r="I363" s="7">
        <v>1</v>
      </c>
      <c r="J363" s="7">
        <v>1</v>
      </c>
      <c r="K363" s="7">
        <v>2</v>
      </c>
      <c r="L363" s="7">
        <v>3</v>
      </c>
    </row>
    <row r="364" spans="1:12" x14ac:dyDescent="0.55000000000000004">
      <c r="A364" s="3">
        <v>1238911629</v>
      </c>
      <c r="B364" s="1" t="s">
        <v>12</v>
      </c>
      <c r="C364" s="6">
        <v>35022</v>
      </c>
      <c r="D364" s="6">
        <v>43416</v>
      </c>
      <c r="E364" s="6"/>
      <c r="F364" s="1" t="s">
        <v>25</v>
      </c>
      <c r="G364" s="2">
        <v>26520</v>
      </c>
      <c r="H364" s="7">
        <v>1</v>
      </c>
      <c r="I364" s="7">
        <v>1</v>
      </c>
      <c r="J364" s="7">
        <v>2</v>
      </c>
      <c r="K364" s="7">
        <v>1</v>
      </c>
      <c r="L364" s="7">
        <v>3</v>
      </c>
    </row>
    <row r="365" spans="1:12" x14ac:dyDescent="0.55000000000000004">
      <c r="A365" s="3">
        <v>1238911631</v>
      </c>
      <c r="B365" s="1" t="s">
        <v>12</v>
      </c>
      <c r="C365" s="6">
        <v>35047</v>
      </c>
      <c r="D365" s="6">
        <v>42974</v>
      </c>
      <c r="E365" s="6"/>
      <c r="F365" s="1" t="s">
        <v>252</v>
      </c>
      <c r="G365" s="2">
        <v>52500</v>
      </c>
      <c r="H365" s="7">
        <v>3</v>
      </c>
      <c r="I365" s="7">
        <v>2</v>
      </c>
      <c r="J365" s="7">
        <v>2</v>
      </c>
      <c r="K365" s="7">
        <v>3</v>
      </c>
      <c r="L365" s="7">
        <v>3</v>
      </c>
    </row>
    <row r="366" spans="1:12" x14ac:dyDescent="0.55000000000000004">
      <c r="A366" s="3">
        <v>1238911632</v>
      </c>
      <c r="B366" s="1" t="s">
        <v>12</v>
      </c>
      <c r="C366" s="6">
        <v>29599</v>
      </c>
      <c r="D366" s="6">
        <v>45060</v>
      </c>
      <c r="E366" s="6">
        <v>45301</v>
      </c>
      <c r="F366" s="1" t="s">
        <v>283</v>
      </c>
      <c r="G366" s="2">
        <v>75000</v>
      </c>
      <c r="H366" s="7">
        <v>1</v>
      </c>
      <c r="I366" s="7">
        <v>2</v>
      </c>
      <c r="J366" s="7">
        <v>1</v>
      </c>
      <c r="K366" s="7">
        <v>1</v>
      </c>
      <c r="L366" s="7">
        <v>1</v>
      </c>
    </row>
    <row r="367" spans="1:12" x14ac:dyDescent="0.55000000000000004">
      <c r="A367" s="3">
        <v>1238911633</v>
      </c>
      <c r="B367" s="1" t="s">
        <v>12</v>
      </c>
      <c r="C367" s="6">
        <v>35120</v>
      </c>
      <c r="D367" s="6">
        <v>45302</v>
      </c>
      <c r="E367" s="6"/>
      <c r="F367" s="1" t="s">
        <v>187</v>
      </c>
      <c r="G367" s="2">
        <v>91000</v>
      </c>
      <c r="H367" s="7">
        <v>3</v>
      </c>
      <c r="I367" s="7">
        <v>1</v>
      </c>
      <c r="J367" s="7">
        <v>3</v>
      </c>
      <c r="K367" s="7">
        <v>2</v>
      </c>
      <c r="L367" s="7">
        <v>3</v>
      </c>
    </row>
    <row r="368" spans="1:12" x14ac:dyDescent="0.55000000000000004">
      <c r="A368" s="3">
        <v>1238911634</v>
      </c>
      <c r="B368" s="1" t="s">
        <v>12</v>
      </c>
      <c r="C368" s="6">
        <v>35151</v>
      </c>
      <c r="D368" s="6">
        <v>44558</v>
      </c>
      <c r="E368" s="6"/>
      <c r="F368" s="1" t="s">
        <v>284</v>
      </c>
      <c r="G368" s="2">
        <v>44200</v>
      </c>
      <c r="H368" s="7">
        <v>1</v>
      </c>
      <c r="I368" s="7">
        <v>2</v>
      </c>
      <c r="J368" s="7">
        <v>1</v>
      </c>
      <c r="K368" s="7">
        <v>1</v>
      </c>
      <c r="L368" s="7">
        <v>1</v>
      </c>
    </row>
    <row r="369" spans="1:12" x14ac:dyDescent="0.55000000000000004">
      <c r="A369" s="3">
        <v>1238911636</v>
      </c>
      <c r="B369" s="1" t="s">
        <v>12</v>
      </c>
      <c r="C369" s="6">
        <v>35189</v>
      </c>
      <c r="D369" s="6">
        <v>42437</v>
      </c>
      <c r="E369" s="6"/>
      <c r="F369" s="1" t="s">
        <v>44</v>
      </c>
      <c r="G369" s="2">
        <v>29042</v>
      </c>
      <c r="H369" s="7">
        <v>1</v>
      </c>
      <c r="I369" s="7">
        <v>1</v>
      </c>
      <c r="J369" s="7">
        <v>1</v>
      </c>
      <c r="K369" s="7">
        <v>2</v>
      </c>
      <c r="L369" s="7">
        <v>2</v>
      </c>
    </row>
    <row r="370" spans="1:12" x14ac:dyDescent="0.55000000000000004">
      <c r="A370" s="3">
        <v>1238911637</v>
      </c>
      <c r="B370" s="1" t="s">
        <v>12</v>
      </c>
      <c r="C370" s="6">
        <v>35176</v>
      </c>
      <c r="D370" s="6">
        <v>45534</v>
      </c>
      <c r="E370" s="6"/>
      <c r="F370" s="1" t="s">
        <v>96</v>
      </c>
      <c r="G370" s="2">
        <v>31590</v>
      </c>
      <c r="H370" s="7">
        <v>1</v>
      </c>
      <c r="I370" s="7">
        <v>1</v>
      </c>
      <c r="J370" s="7">
        <v>3</v>
      </c>
      <c r="K370" s="7">
        <v>3</v>
      </c>
      <c r="L370" s="7">
        <v>2</v>
      </c>
    </row>
    <row r="371" spans="1:12" x14ac:dyDescent="0.55000000000000004">
      <c r="A371" s="3">
        <v>1238911638</v>
      </c>
      <c r="B371" s="1" t="s">
        <v>12</v>
      </c>
      <c r="C371" s="6">
        <v>35215</v>
      </c>
      <c r="D371" s="6">
        <v>44846</v>
      </c>
      <c r="E371" s="6"/>
      <c r="F371" s="1" t="s">
        <v>63</v>
      </c>
      <c r="G371" s="2">
        <v>62608</v>
      </c>
      <c r="H371" s="7">
        <v>2</v>
      </c>
      <c r="I371" s="7">
        <v>3</v>
      </c>
      <c r="J371" s="7">
        <v>2</v>
      </c>
      <c r="K371" s="7">
        <v>3</v>
      </c>
      <c r="L371" s="7">
        <v>3</v>
      </c>
    </row>
    <row r="372" spans="1:12" x14ac:dyDescent="0.55000000000000004">
      <c r="A372" s="3">
        <v>1238911640</v>
      </c>
      <c r="B372" s="1" t="s">
        <v>12</v>
      </c>
      <c r="C372" s="6">
        <v>35239</v>
      </c>
      <c r="D372" s="6">
        <v>42370</v>
      </c>
      <c r="E372" s="6"/>
      <c r="F372" s="1" t="s">
        <v>285</v>
      </c>
      <c r="G372" s="2">
        <v>33008.75</v>
      </c>
      <c r="H372" s="7">
        <v>1</v>
      </c>
      <c r="I372" s="7">
        <v>3</v>
      </c>
      <c r="J372" s="7">
        <v>3</v>
      </c>
      <c r="K372" s="7">
        <v>3</v>
      </c>
      <c r="L372" s="7">
        <v>3</v>
      </c>
    </row>
    <row r="373" spans="1:12" x14ac:dyDescent="0.55000000000000004">
      <c r="A373" s="3">
        <v>1238911644</v>
      </c>
      <c r="B373" s="1" t="s">
        <v>12</v>
      </c>
      <c r="C373" s="6">
        <v>35402</v>
      </c>
      <c r="D373" s="6">
        <v>44294</v>
      </c>
      <c r="E373" s="6"/>
      <c r="F373" s="1" t="s">
        <v>286</v>
      </c>
      <c r="G373" s="2">
        <v>42666</v>
      </c>
      <c r="H373" s="7">
        <v>1</v>
      </c>
      <c r="I373" s="7">
        <v>2</v>
      </c>
      <c r="J373" s="7">
        <v>3</v>
      </c>
      <c r="K373" s="7">
        <v>3</v>
      </c>
      <c r="L373" s="7">
        <v>3</v>
      </c>
    </row>
    <row r="374" spans="1:12" x14ac:dyDescent="0.55000000000000004">
      <c r="A374" s="3">
        <v>1238911646</v>
      </c>
      <c r="B374" s="1" t="s">
        <v>12</v>
      </c>
      <c r="C374" s="6">
        <v>35281</v>
      </c>
      <c r="D374" s="6">
        <v>44970</v>
      </c>
      <c r="E374" s="6"/>
      <c r="F374" s="1" t="s">
        <v>74</v>
      </c>
      <c r="G374" s="2">
        <v>47502.5</v>
      </c>
      <c r="H374" s="7">
        <v>2</v>
      </c>
      <c r="I374" s="7">
        <v>3</v>
      </c>
      <c r="J374" s="7">
        <v>3</v>
      </c>
      <c r="K374" s="7">
        <v>3</v>
      </c>
      <c r="L374" s="7">
        <v>2</v>
      </c>
    </row>
    <row r="375" spans="1:12" x14ac:dyDescent="0.55000000000000004">
      <c r="A375" s="3">
        <v>1238911647</v>
      </c>
      <c r="B375" s="1" t="s">
        <v>12</v>
      </c>
      <c r="C375" s="6">
        <v>35344</v>
      </c>
      <c r="D375" s="6">
        <v>44325</v>
      </c>
      <c r="E375" s="6"/>
      <c r="F375" s="1" t="s">
        <v>283</v>
      </c>
      <c r="G375" s="2">
        <v>78750.100000000006</v>
      </c>
      <c r="H375" s="7">
        <v>3</v>
      </c>
      <c r="I375" s="7">
        <v>1</v>
      </c>
      <c r="J375" s="7">
        <v>1</v>
      </c>
      <c r="K375" s="7">
        <v>1</v>
      </c>
      <c r="L375" s="7">
        <v>1</v>
      </c>
    </row>
    <row r="376" spans="1:12" x14ac:dyDescent="0.55000000000000004">
      <c r="A376" s="3">
        <v>1238911649</v>
      </c>
      <c r="B376" s="1" t="s">
        <v>12</v>
      </c>
      <c r="C376" s="6">
        <v>35523</v>
      </c>
      <c r="D376" s="6">
        <v>44833</v>
      </c>
      <c r="E376" s="6"/>
      <c r="F376" s="1" t="s">
        <v>63</v>
      </c>
      <c r="G376" s="2">
        <v>75000</v>
      </c>
      <c r="H376" s="7">
        <v>2</v>
      </c>
      <c r="I376" s="7">
        <v>2</v>
      </c>
      <c r="J376" s="7">
        <v>3</v>
      </c>
      <c r="K376" s="7">
        <v>2</v>
      </c>
      <c r="L376" s="7">
        <v>3</v>
      </c>
    </row>
    <row r="377" spans="1:12" x14ac:dyDescent="0.55000000000000004">
      <c r="A377" s="3">
        <v>1238911650</v>
      </c>
      <c r="B377" s="1" t="s">
        <v>12</v>
      </c>
      <c r="C377" s="6">
        <v>35471</v>
      </c>
      <c r="D377" s="6">
        <v>45028</v>
      </c>
      <c r="E377" s="6"/>
      <c r="F377" s="1" t="s">
        <v>287</v>
      </c>
      <c r="G377" s="2">
        <v>62426</v>
      </c>
      <c r="H377" s="7">
        <v>2</v>
      </c>
      <c r="I377" s="7">
        <v>2</v>
      </c>
      <c r="J377" s="7">
        <v>2</v>
      </c>
      <c r="K377" s="7">
        <v>2</v>
      </c>
      <c r="L377" s="7">
        <v>1</v>
      </c>
    </row>
    <row r="378" spans="1:12" x14ac:dyDescent="0.55000000000000004">
      <c r="A378" s="3">
        <v>1238911651</v>
      </c>
      <c r="B378" s="1" t="s">
        <v>12</v>
      </c>
      <c r="C378" s="6">
        <v>35582</v>
      </c>
      <c r="D378" s="6">
        <v>42652</v>
      </c>
      <c r="E378" s="6">
        <v>45028</v>
      </c>
      <c r="F378" s="1" t="s">
        <v>287</v>
      </c>
      <c r="G378" s="2">
        <v>62426</v>
      </c>
      <c r="H378" s="7">
        <v>1</v>
      </c>
      <c r="I378" s="7">
        <v>3</v>
      </c>
      <c r="J378" s="7">
        <v>1</v>
      </c>
      <c r="K378" s="7">
        <v>2</v>
      </c>
      <c r="L378" s="7">
        <v>3</v>
      </c>
    </row>
    <row r="379" spans="1:12" x14ac:dyDescent="0.55000000000000004">
      <c r="A379" s="3">
        <v>1238911655</v>
      </c>
      <c r="B379" s="1" t="s">
        <v>12</v>
      </c>
      <c r="C379" s="6">
        <v>35526</v>
      </c>
      <c r="D379" s="6">
        <v>44633</v>
      </c>
      <c r="E379" s="6"/>
      <c r="F379" s="1" t="s">
        <v>288</v>
      </c>
      <c r="G379" s="2">
        <v>56108</v>
      </c>
      <c r="H379" s="7">
        <v>3</v>
      </c>
      <c r="I379" s="7">
        <v>3</v>
      </c>
      <c r="J379" s="7">
        <v>1</v>
      </c>
      <c r="K379" s="7">
        <v>2</v>
      </c>
      <c r="L379" s="7">
        <v>1</v>
      </c>
    </row>
    <row r="380" spans="1:12" x14ac:dyDescent="0.55000000000000004">
      <c r="A380" s="3">
        <v>1238911656</v>
      </c>
      <c r="B380" s="1" t="s">
        <v>12</v>
      </c>
      <c r="C380" s="6">
        <v>35597</v>
      </c>
      <c r="D380" s="6">
        <v>44441</v>
      </c>
      <c r="E380" s="6"/>
      <c r="F380" s="1" t="s">
        <v>63</v>
      </c>
      <c r="G380" s="2">
        <v>77782.574999999997</v>
      </c>
      <c r="H380" s="7">
        <v>3</v>
      </c>
      <c r="I380" s="7">
        <v>3</v>
      </c>
      <c r="J380" s="7">
        <v>3</v>
      </c>
      <c r="K380" s="7">
        <v>2</v>
      </c>
      <c r="L380" s="7">
        <v>3</v>
      </c>
    </row>
    <row r="381" spans="1:12" x14ac:dyDescent="0.55000000000000004">
      <c r="A381" s="3">
        <v>1238911659</v>
      </c>
      <c r="B381" s="1" t="s">
        <v>12</v>
      </c>
      <c r="C381" s="6">
        <v>35741</v>
      </c>
      <c r="D381" s="6">
        <v>44370</v>
      </c>
      <c r="E381" s="6"/>
      <c r="F381" s="1" t="s">
        <v>134</v>
      </c>
      <c r="G381" s="2">
        <v>57174</v>
      </c>
      <c r="H381" s="7">
        <v>1</v>
      </c>
      <c r="I381" s="7">
        <v>2</v>
      </c>
      <c r="J381" s="7">
        <v>3</v>
      </c>
      <c r="K381" s="7">
        <v>3</v>
      </c>
      <c r="L381" s="7">
        <v>1</v>
      </c>
    </row>
    <row r="382" spans="1:12" x14ac:dyDescent="0.55000000000000004">
      <c r="A382" s="3">
        <v>1238911663</v>
      </c>
      <c r="B382" s="1" t="s">
        <v>12</v>
      </c>
      <c r="C382" s="6">
        <v>35734</v>
      </c>
      <c r="D382" s="6">
        <v>42541</v>
      </c>
      <c r="E382" s="6"/>
      <c r="F382" s="1" t="s">
        <v>280</v>
      </c>
      <c r="G382" s="2">
        <v>57200</v>
      </c>
      <c r="H382" s="7">
        <v>2</v>
      </c>
      <c r="I382" s="7">
        <v>3</v>
      </c>
      <c r="J382" s="7">
        <v>3</v>
      </c>
      <c r="K382" s="7">
        <v>2</v>
      </c>
      <c r="L382" s="7">
        <v>3</v>
      </c>
    </row>
    <row r="383" spans="1:12" x14ac:dyDescent="0.55000000000000004">
      <c r="A383" s="3">
        <v>1238911668</v>
      </c>
      <c r="B383" s="1" t="s">
        <v>12</v>
      </c>
      <c r="C383" s="6">
        <v>35915</v>
      </c>
      <c r="D383" s="6">
        <v>44067</v>
      </c>
      <c r="E383" s="6"/>
      <c r="F383" s="1" t="s">
        <v>291</v>
      </c>
      <c r="G383" s="2">
        <v>39000</v>
      </c>
      <c r="H383" s="7">
        <v>2</v>
      </c>
      <c r="I383" s="7">
        <v>3</v>
      </c>
      <c r="J383" s="7">
        <v>3</v>
      </c>
      <c r="K383" s="7">
        <v>1</v>
      </c>
      <c r="L383" s="7">
        <v>1</v>
      </c>
    </row>
    <row r="384" spans="1:12" x14ac:dyDescent="0.55000000000000004">
      <c r="A384" s="3">
        <v>1238911669</v>
      </c>
      <c r="B384" s="1" t="s">
        <v>12</v>
      </c>
      <c r="C384" s="6">
        <v>35926</v>
      </c>
      <c r="D384" s="6">
        <v>43631</v>
      </c>
      <c r="E384" s="6"/>
      <c r="F384" s="1" t="s">
        <v>13</v>
      </c>
      <c r="G384" s="2">
        <v>31200</v>
      </c>
      <c r="H384" s="7">
        <v>3</v>
      </c>
      <c r="I384" s="7">
        <v>3</v>
      </c>
      <c r="J384" s="7">
        <v>2</v>
      </c>
      <c r="K384" s="7">
        <v>1</v>
      </c>
      <c r="L384" s="7">
        <v>3</v>
      </c>
    </row>
    <row r="385" spans="1:12" x14ac:dyDescent="0.55000000000000004">
      <c r="A385" s="3">
        <v>1238911670</v>
      </c>
      <c r="B385" s="1" t="s">
        <v>12</v>
      </c>
      <c r="C385" s="6">
        <v>36011</v>
      </c>
      <c r="D385" s="6">
        <v>44919</v>
      </c>
      <c r="E385" s="6"/>
      <c r="F385" s="1" t="s">
        <v>292</v>
      </c>
      <c r="G385" s="2">
        <v>52000</v>
      </c>
      <c r="H385" s="7">
        <v>1</v>
      </c>
      <c r="I385" s="7">
        <v>3</v>
      </c>
      <c r="J385" s="7">
        <v>3</v>
      </c>
      <c r="K385" s="7">
        <v>3</v>
      </c>
      <c r="L385" s="7">
        <v>1</v>
      </c>
    </row>
    <row r="386" spans="1:12" x14ac:dyDescent="0.55000000000000004">
      <c r="A386" s="3">
        <v>1238911673</v>
      </c>
      <c r="B386" s="1" t="s">
        <v>12</v>
      </c>
      <c r="C386" s="6">
        <v>36035</v>
      </c>
      <c r="D386" s="6">
        <v>42905</v>
      </c>
      <c r="E386" s="6"/>
      <c r="F386" s="1" t="s">
        <v>33</v>
      </c>
      <c r="G386" s="2">
        <v>33800</v>
      </c>
      <c r="H386" s="7">
        <v>3</v>
      </c>
      <c r="I386" s="7">
        <v>2</v>
      </c>
      <c r="J386" s="7">
        <v>2</v>
      </c>
      <c r="K386" s="7">
        <v>1</v>
      </c>
      <c r="L386" s="7">
        <v>2</v>
      </c>
    </row>
    <row r="387" spans="1:12" x14ac:dyDescent="0.55000000000000004">
      <c r="A387" s="3">
        <v>1238911676</v>
      </c>
      <c r="B387" s="1" t="s">
        <v>12</v>
      </c>
      <c r="C387" s="6">
        <v>36040</v>
      </c>
      <c r="D387" s="6">
        <v>42766</v>
      </c>
      <c r="E387" s="6"/>
      <c r="F387" s="1" t="s">
        <v>294</v>
      </c>
      <c r="G387" s="2">
        <v>75010</v>
      </c>
      <c r="H387" s="7">
        <v>1</v>
      </c>
      <c r="I387" s="7">
        <v>2</v>
      </c>
      <c r="J387" s="7">
        <v>3</v>
      </c>
      <c r="K387" s="7">
        <v>2</v>
      </c>
      <c r="L387" s="7">
        <v>3</v>
      </c>
    </row>
    <row r="388" spans="1:12" x14ac:dyDescent="0.55000000000000004">
      <c r="A388" s="3">
        <v>1238911677</v>
      </c>
      <c r="B388" s="1" t="s">
        <v>12</v>
      </c>
      <c r="C388" s="6">
        <v>36048</v>
      </c>
      <c r="D388" s="6">
        <v>43387</v>
      </c>
      <c r="E388" s="6"/>
      <c r="F388" s="1" t="s">
        <v>295</v>
      </c>
      <c r="G388" s="2">
        <v>31486.25</v>
      </c>
      <c r="H388" s="7">
        <v>3</v>
      </c>
      <c r="I388" s="7">
        <v>2</v>
      </c>
      <c r="J388" s="7">
        <v>3</v>
      </c>
      <c r="K388" s="7">
        <v>2</v>
      </c>
      <c r="L388" s="7">
        <v>1</v>
      </c>
    </row>
    <row r="389" spans="1:12" x14ac:dyDescent="0.55000000000000004">
      <c r="A389" s="3">
        <v>1238911678</v>
      </c>
      <c r="B389" s="1" t="s">
        <v>12</v>
      </c>
      <c r="C389" s="6">
        <v>35827</v>
      </c>
      <c r="D389" s="6">
        <v>44322</v>
      </c>
      <c r="E389" s="6"/>
      <c r="F389" s="1" t="s">
        <v>295</v>
      </c>
      <c r="G389" s="2">
        <v>31486.25</v>
      </c>
      <c r="H389" s="7">
        <v>1</v>
      </c>
      <c r="I389" s="7">
        <v>3</v>
      </c>
      <c r="J389" s="7">
        <v>3</v>
      </c>
      <c r="K389" s="7">
        <v>2</v>
      </c>
      <c r="L389" s="7">
        <v>1</v>
      </c>
    </row>
    <row r="390" spans="1:12" x14ac:dyDescent="0.55000000000000004">
      <c r="A390" s="3">
        <v>1238911679</v>
      </c>
      <c r="B390" s="1" t="s">
        <v>12</v>
      </c>
      <c r="C390" s="6">
        <v>36130</v>
      </c>
      <c r="D390" s="6">
        <v>43822</v>
      </c>
      <c r="E390" s="6">
        <v>45238</v>
      </c>
      <c r="F390" s="1" t="s">
        <v>44</v>
      </c>
      <c r="G390" s="2">
        <v>40170</v>
      </c>
      <c r="H390" s="7">
        <v>3</v>
      </c>
      <c r="I390" s="7">
        <v>3</v>
      </c>
      <c r="J390" s="7">
        <v>3</v>
      </c>
      <c r="K390" s="7">
        <v>1</v>
      </c>
      <c r="L390" s="7">
        <v>1</v>
      </c>
    </row>
    <row r="391" spans="1:12" x14ac:dyDescent="0.55000000000000004">
      <c r="A391" s="3">
        <v>1238911683</v>
      </c>
      <c r="B391" s="1" t="s">
        <v>12</v>
      </c>
      <c r="C391" s="6">
        <v>34736</v>
      </c>
      <c r="D391" s="6">
        <v>43024</v>
      </c>
      <c r="E391" s="6">
        <v>44630</v>
      </c>
      <c r="F391" s="1" t="s">
        <v>270</v>
      </c>
      <c r="G391" s="2">
        <v>44200</v>
      </c>
      <c r="H391" s="7">
        <v>1</v>
      </c>
      <c r="I391" s="7">
        <v>2</v>
      </c>
      <c r="J391" s="7">
        <v>3</v>
      </c>
      <c r="K391" s="7">
        <v>2</v>
      </c>
      <c r="L391" s="7">
        <v>2</v>
      </c>
    </row>
    <row r="392" spans="1:12" x14ac:dyDescent="0.55000000000000004">
      <c r="A392" s="3">
        <v>1238911685</v>
      </c>
      <c r="B392" s="1" t="s">
        <v>12</v>
      </c>
      <c r="C392" s="6">
        <v>36271</v>
      </c>
      <c r="D392" s="6">
        <v>45525</v>
      </c>
      <c r="E392" s="6"/>
      <c r="F392" s="1" t="s">
        <v>13</v>
      </c>
      <c r="G392" s="2">
        <v>31512</v>
      </c>
      <c r="H392" s="7">
        <v>3</v>
      </c>
      <c r="I392" s="7">
        <v>2</v>
      </c>
      <c r="J392" s="7">
        <v>1</v>
      </c>
      <c r="K392" s="7">
        <v>3</v>
      </c>
      <c r="L392" s="7">
        <v>3</v>
      </c>
    </row>
    <row r="393" spans="1:12" x14ac:dyDescent="0.55000000000000004">
      <c r="A393" s="3">
        <v>1238911686</v>
      </c>
      <c r="B393" s="1" t="s">
        <v>12</v>
      </c>
      <c r="C393" s="6">
        <v>36372</v>
      </c>
      <c r="D393" s="6">
        <v>43745</v>
      </c>
      <c r="E393" s="6"/>
      <c r="F393" s="1" t="s">
        <v>44</v>
      </c>
      <c r="G393" s="2">
        <v>28600</v>
      </c>
      <c r="H393" s="7">
        <v>3</v>
      </c>
      <c r="I393" s="7">
        <v>1</v>
      </c>
      <c r="J393" s="7">
        <v>2</v>
      </c>
      <c r="K393" s="7">
        <v>2</v>
      </c>
      <c r="L393" s="7">
        <v>2</v>
      </c>
    </row>
    <row r="394" spans="1:12" x14ac:dyDescent="0.55000000000000004">
      <c r="A394" s="3">
        <v>1238911687</v>
      </c>
      <c r="B394" s="1" t="s">
        <v>12</v>
      </c>
      <c r="C394" s="6">
        <v>36288</v>
      </c>
      <c r="D394" s="6">
        <v>45331</v>
      </c>
      <c r="E394" s="6"/>
      <c r="F394" s="1" t="s">
        <v>296</v>
      </c>
      <c r="G394" s="2">
        <v>33800</v>
      </c>
      <c r="H394" s="7">
        <v>3</v>
      </c>
      <c r="I394" s="7">
        <v>2</v>
      </c>
      <c r="J394" s="7">
        <v>3</v>
      </c>
      <c r="K394" s="7">
        <v>2</v>
      </c>
      <c r="L394" s="7">
        <v>1</v>
      </c>
    </row>
    <row r="395" spans="1:12" x14ac:dyDescent="0.55000000000000004">
      <c r="A395" s="3">
        <v>1238911689</v>
      </c>
      <c r="B395" s="1" t="s">
        <v>12</v>
      </c>
      <c r="C395" s="6">
        <v>36208</v>
      </c>
      <c r="D395" s="6">
        <v>45245</v>
      </c>
      <c r="E395" s="6"/>
      <c r="F395" s="1" t="s">
        <v>107</v>
      </c>
      <c r="G395" s="2">
        <v>28886.25</v>
      </c>
      <c r="H395" s="7">
        <v>1</v>
      </c>
      <c r="I395" s="7">
        <v>2</v>
      </c>
      <c r="J395" s="7">
        <v>2</v>
      </c>
      <c r="K395" s="7">
        <v>3</v>
      </c>
      <c r="L395" s="7">
        <v>3</v>
      </c>
    </row>
    <row r="396" spans="1:12" x14ac:dyDescent="0.55000000000000004">
      <c r="A396" s="3">
        <v>1238911690</v>
      </c>
      <c r="B396" s="1" t="s">
        <v>12</v>
      </c>
      <c r="C396" s="6">
        <v>34869</v>
      </c>
      <c r="D396" s="6">
        <v>45519</v>
      </c>
      <c r="E396" s="6"/>
      <c r="F396" s="1" t="s">
        <v>297</v>
      </c>
      <c r="G396" s="2">
        <v>68770</v>
      </c>
      <c r="H396" s="7">
        <v>2</v>
      </c>
      <c r="I396" s="7">
        <v>1</v>
      </c>
      <c r="J396" s="7">
        <v>2</v>
      </c>
      <c r="K396" s="7">
        <v>2</v>
      </c>
      <c r="L396" s="7">
        <v>1</v>
      </c>
    </row>
    <row r="397" spans="1:12" x14ac:dyDescent="0.55000000000000004">
      <c r="A397" s="3">
        <v>1238911691</v>
      </c>
      <c r="B397" s="1" t="s">
        <v>12</v>
      </c>
      <c r="C397" s="6">
        <v>36344</v>
      </c>
      <c r="D397" s="6">
        <v>43509</v>
      </c>
      <c r="E397" s="6"/>
      <c r="F397" s="1" t="s">
        <v>298</v>
      </c>
      <c r="G397" s="2">
        <v>36972</v>
      </c>
      <c r="H397" s="7">
        <v>2</v>
      </c>
      <c r="I397" s="7">
        <v>3</v>
      </c>
      <c r="J397" s="7">
        <v>2</v>
      </c>
      <c r="K397" s="7">
        <v>2</v>
      </c>
      <c r="L397" s="7">
        <v>1</v>
      </c>
    </row>
    <row r="398" spans="1:12" x14ac:dyDescent="0.55000000000000004">
      <c r="A398" s="3">
        <v>1238911692</v>
      </c>
      <c r="B398" s="1" t="s">
        <v>12</v>
      </c>
      <c r="C398" s="6">
        <v>36351</v>
      </c>
      <c r="D398" s="6">
        <v>44451</v>
      </c>
      <c r="E398" s="6"/>
      <c r="F398" s="1" t="s">
        <v>133</v>
      </c>
      <c r="G398" s="2">
        <v>31928</v>
      </c>
      <c r="H398" s="7">
        <v>1</v>
      </c>
      <c r="I398" s="7">
        <v>2</v>
      </c>
      <c r="J398" s="7">
        <v>3</v>
      </c>
      <c r="K398" s="7">
        <v>2</v>
      </c>
      <c r="L398" s="7">
        <v>3</v>
      </c>
    </row>
    <row r="399" spans="1:12" x14ac:dyDescent="0.55000000000000004">
      <c r="A399" s="3">
        <v>1238911693</v>
      </c>
      <c r="B399" s="1" t="s">
        <v>12</v>
      </c>
      <c r="C399" s="6">
        <v>36493</v>
      </c>
      <c r="D399" s="6">
        <v>43268</v>
      </c>
      <c r="E399" s="6">
        <v>44707</v>
      </c>
      <c r="F399" s="1" t="s">
        <v>299</v>
      </c>
      <c r="G399" s="2">
        <v>44356</v>
      </c>
      <c r="H399" s="7">
        <v>2</v>
      </c>
      <c r="I399" s="7">
        <v>1</v>
      </c>
      <c r="J399" s="7">
        <v>2</v>
      </c>
      <c r="K399" s="7">
        <v>3</v>
      </c>
      <c r="L399" s="7">
        <v>1</v>
      </c>
    </row>
    <row r="400" spans="1:12" x14ac:dyDescent="0.55000000000000004">
      <c r="A400" s="3">
        <v>1238911695</v>
      </c>
      <c r="B400" s="1" t="s">
        <v>12</v>
      </c>
      <c r="C400" s="6">
        <v>36372</v>
      </c>
      <c r="D400" s="6">
        <v>44893</v>
      </c>
      <c r="E400" s="6">
        <v>45567</v>
      </c>
      <c r="F400" s="1" t="s">
        <v>13</v>
      </c>
      <c r="G400" s="2">
        <v>27300</v>
      </c>
      <c r="H400" s="7">
        <v>2</v>
      </c>
      <c r="I400" s="7">
        <v>2</v>
      </c>
      <c r="J400" s="7">
        <v>1</v>
      </c>
      <c r="K400" s="7">
        <v>3</v>
      </c>
      <c r="L400" s="7">
        <v>2</v>
      </c>
    </row>
    <row r="401" spans="1:12" x14ac:dyDescent="0.55000000000000004">
      <c r="A401" s="3">
        <v>1238911697</v>
      </c>
      <c r="B401" s="1" t="s">
        <v>12</v>
      </c>
      <c r="C401" s="6">
        <v>36317</v>
      </c>
      <c r="D401" s="6">
        <v>44952</v>
      </c>
      <c r="E401" s="6"/>
      <c r="F401" s="1" t="s">
        <v>300</v>
      </c>
      <c r="G401" s="2">
        <v>51558</v>
      </c>
      <c r="H401" s="7">
        <v>3</v>
      </c>
      <c r="I401" s="7">
        <v>2</v>
      </c>
      <c r="J401" s="7">
        <v>2</v>
      </c>
      <c r="K401" s="7">
        <v>2</v>
      </c>
      <c r="L401" s="7">
        <v>1</v>
      </c>
    </row>
    <row r="402" spans="1:12" x14ac:dyDescent="0.55000000000000004">
      <c r="A402" s="3">
        <v>1238911698</v>
      </c>
      <c r="B402" s="1" t="s">
        <v>12</v>
      </c>
      <c r="C402" s="6">
        <v>36413</v>
      </c>
      <c r="D402" s="6">
        <v>45673</v>
      </c>
      <c r="E402" s="6"/>
      <c r="F402" s="1" t="s">
        <v>301</v>
      </c>
      <c r="G402" s="2">
        <v>48464</v>
      </c>
      <c r="H402" s="7">
        <v>1</v>
      </c>
      <c r="I402" s="7">
        <v>3</v>
      </c>
      <c r="J402" s="7">
        <v>2</v>
      </c>
      <c r="K402" s="7">
        <v>3</v>
      </c>
      <c r="L402" s="7">
        <v>1</v>
      </c>
    </row>
    <row r="403" spans="1:12" x14ac:dyDescent="0.55000000000000004">
      <c r="A403" s="3">
        <v>1238911700</v>
      </c>
      <c r="B403" s="1" t="s">
        <v>12</v>
      </c>
      <c r="C403" s="6">
        <v>35356</v>
      </c>
      <c r="D403" s="6">
        <v>43027</v>
      </c>
      <c r="E403" s="6"/>
      <c r="F403" s="1" t="s">
        <v>303</v>
      </c>
      <c r="G403" s="2">
        <v>72878</v>
      </c>
      <c r="H403" s="7">
        <v>2</v>
      </c>
      <c r="I403" s="7">
        <v>2</v>
      </c>
      <c r="J403" s="7">
        <v>2</v>
      </c>
      <c r="K403" s="7">
        <v>1</v>
      </c>
      <c r="L403" s="7">
        <v>1</v>
      </c>
    </row>
    <row r="404" spans="1:12" x14ac:dyDescent="0.55000000000000004">
      <c r="A404" s="3">
        <v>1238911702</v>
      </c>
      <c r="B404" s="1" t="s">
        <v>12</v>
      </c>
      <c r="C404" s="6">
        <v>36477</v>
      </c>
      <c r="D404" s="6">
        <v>45234</v>
      </c>
      <c r="E404" s="6"/>
      <c r="F404" s="1" t="s">
        <v>198</v>
      </c>
      <c r="G404" s="2">
        <v>62842</v>
      </c>
      <c r="H404" s="7">
        <v>3</v>
      </c>
      <c r="I404" s="7">
        <v>1</v>
      </c>
      <c r="J404" s="7">
        <v>3</v>
      </c>
      <c r="K404" s="7">
        <v>3</v>
      </c>
      <c r="L404" s="7">
        <v>3</v>
      </c>
    </row>
    <row r="405" spans="1:12" x14ac:dyDescent="0.55000000000000004">
      <c r="A405" s="3">
        <v>1238911703</v>
      </c>
      <c r="B405" s="1" t="s">
        <v>12</v>
      </c>
      <c r="C405" s="6">
        <v>35388</v>
      </c>
      <c r="D405" s="6">
        <v>42238</v>
      </c>
      <c r="E405" s="6"/>
      <c r="F405" s="1" t="s">
        <v>280</v>
      </c>
      <c r="G405" s="2">
        <v>61438</v>
      </c>
      <c r="H405" s="7">
        <v>2</v>
      </c>
      <c r="I405" s="7">
        <v>2</v>
      </c>
      <c r="J405" s="7">
        <v>2</v>
      </c>
      <c r="K405" s="7">
        <v>3</v>
      </c>
      <c r="L405" s="7">
        <v>2</v>
      </c>
    </row>
    <row r="406" spans="1:12" x14ac:dyDescent="0.55000000000000004">
      <c r="A406" s="3">
        <v>1238911706</v>
      </c>
      <c r="B406" s="1" t="s">
        <v>12</v>
      </c>
      <c r="C406" s="6">
        <v>36565</v>
      </c>
      <c r="D406" s="6">
        <v>45619</v>
      </c>
      <c r="E406" s="6"/>
      <c r="F406" s="1" t="s">
        <v>306</v>
      </c>
      <c r="G406" s="2">
        <v>71292.5</v>
      </c>
      <c r="H406" s="7">
        <v>2</v>
      </c>
      <c r="I406" s="7">
        <v>1</v>
      </c>
      <c r="J406" s="7">
        <v>2</v>
      </c>
      <c r="K406" s="7">
        <v>1</v>
      </c>
      <c r="L406" s="7">
        <v>1</v>
      </c>
    </row>
    <row r="407" spans="1:12" x14ac:dyDescent="0.55000000000000004">
      <c r="A407" s="3">
        <v>1238911707</v>
      </c>
      <c r="B407" s="1" t="s">
        <v>12</v>
      </c>
      <c r="C407" s="6">
        <v>36603</v>
      </c>
      <c r="D407" s="6">
        <v>43921</v>
      </c>
      <c r="E407" s="6"/>
      <c r="F407" s="1" t="s">
        <v>44</v>
      </c>
      <c r="G407" s="2">
        <v>31200</v>
      </c>
      <c r="H407" s="7">
        <v>3</v>
      </c>
      <c r="I407" s="7">
        <v>3</v>
      </c>
      <c r="J407" s="7">
        <v>3</v>
      </c>
      <c r="K407" s="7">
        <v>2</v>
      </c>
      <c r="L407" s="7">
        <v>2</v>
      </c>
    </row>
    <row r="408" spans="1:12" x14ac:dyDescent="0.55000000000000004">
      <c r="A408" s="3">
        <v>1238911710</v>
      </c>
      <c r="B408" s="1" t="s">
        <v>12</v>
      </c>
      <c r="C408" s="6">
        <v>36687</v>
      </c>
      <c r="D408" s="6">
        <v>45079</v>
      </c>
      <c r="E408" s="6"/>
      <c r="F408" s="1" t="s">
        <v>308</v>
      </c>
      <c r="G408" s="2">
        <v>37128</v>
      </c>
      <c r="H408" s="7">
        <v>3</v>
      </c>
      <c r="I408" s="7">
        <v>3</v>
      </c>
      <c r="J408" s="7">
        <v>2</v>
      </c>
      <c r="K408" s="7">
        <v>3</v>
      </c>
      <c r="L408" s="7">
        <v>3</v>
      </c>
    </row>
    <row r="409" spans="1:12" x14ac:dyDescent="0.55000000000000004">
      <c r="A409" s="3">
        <v>1238911711</v>
      </c>
      <c r="B409" s="1" t="s">
        <v>12</v>
      </c>
      <c r="C409" s="6">
        <v>36700</v>
      </c>
      <c r="D409" s="6">
        <v>43751</v>
      </c>
      <c r="E409" s="6">
        <v>44832</v>
      </c>
      <c r="F409" s="1" t="s">
        <v>133</v>
      </c>
      <c r="G409" s="2">
        <v>31824</v>
      </c>
      <c r="H409" s="7">
        <v>3</v>
      </c>
      <c r="I409" s="7">
        <v>3</v>
      </c>
      <c r="J409" s="7">
        <v>2</v>
      </c>
      <c r="K409" s="7">
        <v>3</v>
      </c>
      <c r="L409" s="7">
        <v>3</v>
      </c>
    </row>
    <row r="410" spans="1:12" x14ac:dyDescent="0.55000000000000004">
      <c r="A410" s="3">
        <v>1238911712</v>
      </c>
      <c r="B410" s="1" t="s">
        <v>12</v>
      </c>
      <c r="C410" s="6">
        <v>36831</v>
      </c>
      <c r="D410" s="6">
        <v>43950</v>
      </c>
      <c r="E410" s="6"/>
      <c r="F410" s="1" t="s">
        <v>43</v>
      </c>
      <c r="G410" s="2">
        <v>32500</v>
      </c>
      <c r="H410" s="7">
        <v>1</v>
      </c>
      <c r="I410" s="7">
        <v>3</v>
      </c>
      <c r="J410" s="7">
        <v>3</v>
      </c>
      <c r="K410" s="7">
        <v>1</v>
      </c>
      <c r="L410" s="7">
        <v>2</v>
      </c>
    </row>
    <row r="411" spans="1:12" x14ac:dyDescent="0.55000000000000004">
      <c r="A411" s="3">
        <v>1238911717</v>
      </c>
      <c r="B411" s="1" t="s">
        <v>12</v>
      </c>
      <c r="C411" s="6">
        <v>36895</v>
      </c>
      <c r="D411" s="6">
        <v>44373</v>
      </c>
      <c r="E411" s="6"/>
      <c r="F411" s="1" t="s">
        <v>310</v>
      </c>
      <c r="G411" s="2">
        <v>30056</v>
      </c>
      <c r="H411" s="7">
        <v>3</v>
      </c>
      <c r="I411" s="7">
        <v>3</v>
      </c>
      <c r="J411" s="7">
        <v>3</v>
      </c>
      <c r="K411" s="7">
        <v>1</v>
      </c>
      <c r="L411" s="7">
        <v>2</v>
      </c>
    </row>
    <row r="412" spans="1:12" x14ac:dyDescent="0.55000000000000004">
      <c r="A412" s="3">
        <v>1238911719</v>
      </c>
      <c r="B412" s="1" t="s">
        <v>12</v>
      </c>
      <c r="C412" s="6">
        <v>37133</v>
      </c>
      <c r="D412" s="6">
        <v>44619</v>
      </c>
      <c r="E412" s="6"/>
      <c r="F412" s="1" t="s">
        <v>311</v>
      </c>
      <c r="G412" s="2">
        <v>31927.5</v>
      </c>
      <c r="H412" s="7">
        <v>3</v>
      </c>
      <c r="I412" s="7">
        <v>1</v>
      </c>
      <c r="J412" s="7">
        <v>2</v>
      </c>
      <c r="K412" s="7">
        <v>2</v>
      </c>
      <c r="L412" s="7">
        <v>1</v>
      </c>
    </row>
    <row r="413" spans="1:12" x14ac:dyDescent="0.55000000000000004">
      <c r="A413" s="3">
        <v>1238911721</v>
      </c>
      <c r="B413" s="1" t="s">
        <v>12</v>
      </c>
      <c r="C413" s="6">
        <v>37184</v>
      </c>
      <c r="D413" s="6">
        <v>43958</v>
      </c>
      <c r="E413" s="6"/>
      <c r="F413" s="1" t="s">
        <v>87</v>
      </c>
      <c r="G413" s="2">
        <v>34320</v>
      </c>
      <c r="H413" s="7">
        <v>1</v>
      </c>
      <c r="I413" s="7">
        <v>1</v>
      </c>
      <c r="J413" s="7">
        <v>3</v>
      </c>
      <c r="K413" s="7">
        <v>2</v>
      </c>
      <c r="L413" s="7">
        <v>1</v>
      </c>
    </row>
    <row r="414" spans="1:12" x14ac:dyDescent="0.55000000000000004">
      <c r="A414" s="3">
        <v>1238911722</v>
      </c>
      <c r="B414" s="1" t="s">
        <v>12</v>
      </c>
      <c r="C414" s="6">
        <v>37042</v>
      </c>
      <c r="D414" s="6">
        <v>44442</v>
      </c>
      <c r="E414" s="6">
        <v>45224</v>
      </c>
      <c r="F414" s="1" t="s">
        <v>87</v>
      </c>
      <c r="G414" s="2">
        <v>34320</v>
      </c>
      <c r="H414" s="7">
        <v>1</v>
      </c>
      <c r="I414" s="7">
        <v>3</v>
      </c>
      <c r="J414" s="7">
        <v>1</v>
      </c>
      <c r="K414" s="7">
        <v>3</v>
      </c>
      <c r="L414" s="7">
        <v>1</v>
      </c>
    </row>
    <row r="415" spans="1:12" x14ac:dyDescent="0.55000000000000004">
      <c r="A415" s="3">
        <v>1238911724</v>
      </c>
      <c r="B415" s="1" t="s">
        <v>12</v>
      </c>
      <c r="C415" s="6">
        <v>37258</v>
      </c>
      <c r="D415" s="6">
        <v>45077</v>
      </c>
      <c r="E415" s="6"/>
      <c r="F415" s="1" t="s">
        <v>314</v>
      </c>
      <c r="G415" s="2">
        <v>34320</v>
      </c>
      <c r="H415" s="7">
        <v>1</v>
      </c>
      <c r="I415" s="7">
        <v>1</v>
      </c>
      <c r="J415" s="7">
        <v>2</v>
      </c>
      <c r="K415" s="7">
        <v>3</v>
      </c>
      <c r="L415" s="7">
        <v>3</v>
      </c>
    </row>
    <row r="416" spans="1:12" x14ac:dyDescent="0.55000000000000004">
      <c r="A416" s="3">
        <v>1238911728</v>
      </c>
      <c r="B416" s="1" t="s">
        <v>12</v>
      </c>
      <c r="C416" s="6">
        <v>37329</v>
      </c>
      <c r="D416" s="6">
        <v>44033</v>
      </c>
      <c r="E416" s="6">
        <v>44651</v>
      </c>
      <c r="F416" s="1" t="s">
        <v>247</v>
      </c>
      <c r="G416" s="2">
        <v>43732.5</v>
      </c>
      <c r="H416" s="7">
        <v>3</v>
      </c>
      <c r="I416" s="7">
        <v>2</v>
      </c>
      <c r="J416" s="7">
        <v>2</v>
      </c>
      <c r="K416" s="7">
        <v>1</v>
      </c>
      <c r="L416" s="7">
        <v>1</v>
      </c>
    </row>
    <row r="417" spans="1:12" x14ac:dyDescent="0.55000000000000004">
      <c r="A417" s="3">
        <v>1238911729</v>
      </c>
      <c r="B417" s="1" t="s">
        <v>12</v>
      </c>
      <c r="C417" s="6">
        <v>37452</v>
      </c>
      <c r="D417" s="6">
        <v>44526</v>
      </c>
      <c r="E417" s="6"/>
      <c r="F417" s="1" t="s">
        <v>44</v>
      </c>
      <c r="G417" s="2">
        <v>28600</v>
      </c>
      <c r="H417" s="7">
        <v>3</v>
      </c>
      <c r="I417" s="7">
        <v>1</v>
      </c>
      <c r="J417" s="7">
        <v>3</v>
      </c>
      <c r="K417" s="7">
        <v>2</v>
      </c>
      <c r="L417" s="7">
        <v>1</v>
      </c>
    </row>
    <row r="418" spans="1:12" x14ac:dyDescent="0.55000000000000004">
      <c r="A418" s="3">
        <v>1238911730</v>
      </c>
      <c r="B418" s="1" t="s">
        <v>12</v>
      </c>
      <c r="C418" s="6">
        <v>37470</v>
      </c>
      <c r="D418" s="6">
        <v>45412</v>
      </c>
      <c r="E418" s="6"/>
      <c r="F418" s="1" t="s">
        <v>44</v>
      </c>
      <c r="G418" s="2">
        <v>28600</v>
      </c>
      <c r="H418" s="7">
        <v>2</v>
      </c>
      <c r="I418" s="7">
        <v>2</v>
      </c>
      <c r="J418" s="7">
        <v>1</v>
      </c>
      <c r="K418" s="7">
        <v>1</v>
      </c>
      <c r="L418" s="7">
        <v>2</v>
      </c>
    </row>
    <row r="419" spans="1:12" x14ac:dyDescent="0.55000000000000004">
      <c r="A419" s="3">
        <v>1238911731</v>
      </c>
      <c r="B419" s="1" t="s">
        <v>12</v>
      </c>
      <c r="C419" s="6">
        <v>36044</v>
      </c>
      <c r="D419" s="6">
        <v>43933</v>
      </c>
      <c r="E419" s="6">
        <v>45106</v>
      </c>
      <c r="F419" s="1" t="s">
        <v>316</v>
      </c>
      <c r="G419" s="2">
        <v>27300</v>
      </c>
      <c r="H419" s="7">
        <v>1</v>
      </c>
      <c r="I419" s="7">
        <v>3</v>
      </c>
      <c r="J419" s="7">
        <v>1</v>
      </c>
      <c r="K419" s="7">
        <v>1</v>
      </c>
      <c r="L419" s="7">
        <v>1</v>
      </c>
    </row>
    <row r="420" spans="1:12" x14ac:dyDescent="0.55000000000000004">
      <c r="A420" s="3">
        <v>1238911733</v>
      </c>
      <c r="B420" s="1" t="s">
        <v>12</v>
      </c>
      <c r="C420" s="6">
        <v>36168</v>
      </c>
      <c r="D420" s="6">
        <v>44823</v>
      </c>
      <c r="E420" s="6">
        <v>45245</v>
      </c>
      <c r="F420" s="1" t="s">
        <v>84</v>
      </c>
      <c r="G420" s="2">
        <v>33800</v>
      </c>
      <c r="H420" s="7">
        <v>1</v>
      </c>
      <c r="I420" s="7">
        <v>1</v>
      </c>
      <c r="J420" s="7">
        <v>1</v>
      </c>
      <c r="K420" s="7">
        <v>2</v>
      </c>
      <c r="L420" s="7">
        <v>2</v>
      </c>
    </row>
    <row r="421" spans="1:12" x14ac:dyDescent="0.55000000000000004">
      <c r="A421" s="3">
        <v>1238911735</v>
      </c>
      <c r="B421" s="1" t="s">
        <v>12</v>
      </c>
      <c r="C421" s="6">
        <v>37713</v>
      </c>
      <c r="D421" s="6">
        <v>45107</v>
      </c>
      <c r="E421" s="6"/>
      <c r="F421" s="1" t="s">
        <v>317</v>
      </c>
      <c r="G421" s="2">
        <v>39000</v>
      </c>
      <c r="H421" s="7">
        <v>2</v>
      </c>
      <c r="I421" s="7">
        <v>3</v>
      </c>
      <c r="J421" s="7">
        <v>3</v>
      </c>
      <c r="K421" s="7">
        <v>2</v>
      </c>
      <c r="L421" s="7">
        <v>3</v>
      </c>
    </row>
    <row r="422" spans="1:12" x14ac:dyDescent="0.55000000000000004">
      <c r="A422" s="3">
        <v>1238911739</v>
      </c>
      <c r="B422" s="1" t="s">
        <v>12</v>
      </c>
      <c r="C422" s="6">
        <v>37931</v>
      </c>
      <c r="D422" s="6">
        <v>44754</v>
      </c>
      <c r="E422" s="6"/>
      <c r="F422" s="1" t="s">
        <v>316</v>
      </c>
      <c r="G422" s="2">
        <v>27300</v>
      </c>
      <c r="H422" s="7">
        <v>1</v>
      </c>
      <c r="I422" s="7">
        <v>2</v>
      </c>
      <c r="J422" s="7">
        <v>2</v>
      </c>
      <c r="K422" s="7">
        <v>1</v>
      </c>
      <c r="L422" s="7">
        <v>3</v>
      </c>
    </row>
    <row r="423" spans="1:12" x14ac:dyDescent="0.55000000000000004">
      <c r="A423" s="3">
        <v>1238911742</v>
      </c>
      <c r="B423" s="1" t="s">
        <v>12</v>
      </c>
      <c r="C423" s="6">
        <v>38237</v>
      </c>
      <c r="D423" s="6">
        <v>45799</v>
      </c>
      <c r="E423" s="6"/>
      <c r="F423" s="1" t="s">
        <v>320</v>
      </c>
      <c r="G423" s="2">
        <v>43758</v>
      </c>
      <c r="H423" s="7">
        <v>3</v>
      </c>
      <c r="I423" s="7">
        <v>1</v>
      </c>
      <c r="J423" s="7">
        <v>2</v>
      </c>
      <c r="K423" s="7">
        <v>1</v>
      </c>
      <c r="L423" s="7">
        <v>2</v>
      </c>
    </row>
    <row r="424" spans="1:12" x14ac:dyDescent="0.55000000000000004">
      <c r="A424" s="3">
        <v>1238911745</v>
      </c>
      <c r="B424" s="1" t="s">
        <v>12</v>
      </c>
      <c r="C424" s="6">
        <v>38146</v>
      </c>
      <c r="D424" s="6">
        <v>45631</v>
      </c>
      <c r="E424" s="6"/>
      <c r="F424" s="1" t="s">
        <v>310</v>
      </c>
      <c r="G424" s="2">
        <v>31200</v>
      </c>
      <c r="H424" s="7">
        <v>1</v>
      </c>
      <c r="I424" s="7">
        <v>2</v>
      </c>
      <c r="J424" s="7">
        <v>3</v>
      </c>
      <c r="K424" s="7">
        <v>3</v>
      </c>
      <c r="L424" s="7">
        <v>3</v>
      </c>
    </row>
    <row r="425" spans="1:12" x14ac:dyDescent="0.55000000000000004">
      <c r="A425" s="3">
        <v>1238911746</v>
      </c>
      <c r="B425" s="1" t="s">
        <v>12</v>
      </c>
      <c r="C425" s="6">
        <v>38470</v>
      </c>
      <c r="D425" s="6">
        <v>45040</v>
      </c>
      <c r="E425" s="6"/>
      <c r="F425" s="1" t="s">
        <v>25</v>
      </c>
      <c r="G425" s="2">
        <v>28600</v>
      </c>
      <c r="H425" s="7">
        <v>2</v>
      </c>
      <c r="I425" s="7">
        <v>1</v>
      </c>
      <c r="J425" s="7">
        <v>1</v>
      </c>
      <c r="K425" s="7">
        <v>1</v>
      </c>
      <c r="L425" s="7">
        <v>1</v>
      </c>
    </row>
    <row r="426" spans="1:12" x14ac:dyDescent="0.55000000000000004">
      <c r="A426" s="3">
        <v>1238911747</v>
      </c>
      <c r="B426" s="1" t="s">
        <v>12</v>
      </c>
      <c r="C426" s="6">
        <v>38551</v>
      </c>
      <c r="D426" s="6">
        <v>45146</v>
      </c>
      <c r="E426" s="6">
        <v>45728</v>
      </c>
      <c r="F426" s="1" t="s">
        <v>25</v>
      </c>
      <c r="G426" s="2">
        <v>31200</v>
      </c>
      <c r="H426" s="7">
        <v>3</v>
      </c>
      <c r="I426" s="7">
        <v>1</v>
      </c>
      <c r="J426" s="7">
        <v>1</v>
      </c>
      <c r="K426" s="7">
        <v>2</v>
      </c>
      <c r="L426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42505-9579-40C2-B18D-797E9909680B}">
  <dimension ref="A1:L321"/>
  <sheetViews>
    <sheetView topLeftCell="B1" workbookViewId="0">
      <selection activeCell="F1" sqref="F1:F1048576"/>
    </sheetView>
  </sheetViews>
  <sheetFormatPr defaultColWidth="8.83984375" defaultRowHeight="14.4" x14ac:dyDescent="0.55000000000000004"/>
  <cols>
    <col min="1" max="5" width="22" style="1" customWidth="1"/>
    <col min="6" max="6" width="41.26171875" style="1" bestFit="1" customWidth="1"/>
    <col min="7" max="7" width="14.41796875" style="1" customWidth="1"/>
    <col min="8" max="12" width="21.578125" style="8" customWidth="1"/>
    <col min="13" max="16384" width="8.83984375" style="1"/>
  </cols>
  <sheetData>
    <row r="1" spans="1:12" x14ac:dyDescent="0.55000000000000004">
      <c r="A1" s="3">
        <v>1238911002</v>
      </c>
      <c r="B1" s="1" t="s">
        <v>14</v>
      </c>
      <c r="C1" s="6">
        <v>19833</v>
      </c>
      <c r="D1" s="6">
        <v>36350</v>
      </c>
      <c r="E1" s="6"/>
      <c r="F1" s="1" t="s">
        <v>13</v>
      </c>
      <c r="G1" s="2">
        <v>26000</v>
      </c>
      <c r="H1" s="7">
        <v>1</v>
      </c>
      <c r="I1" s="7">
        <v>3</v>
      </c>
      <c r="J1" s="7">
        <v>1</v>
      </c>
      <c r="K1" s="7">
        <v>1</v>
      </c>
      <c r="L1" s="7">
        <v>3</v>
      </c>
    </row>
    <row r="2" spans="1:12" x14ac:dyDescent="0.55000000000000004">
      <c r="A2" s="3">
        <v>1238911006</v>
      </c>
      <c r="B2" s="1" t="s">
        <v>14</v>
      </c>
      <c r="C2" s="6">
        <v>34706</v>
      </c>
      <c r="D2" s="6">
        <v>45441</v>
      </c>
      <c r="E2" s="6"/>
      <c r="F2" s="1" t="s">
        <v>17</v>
      </c>
      <c r="G2" s="2">
        <v>46280</v>
      </c>
      <c r="H2" s="7">
        <v>3</v>
      </c>
      <c r="I2" s="7">
        <v>2</v>
      </c>
      <c r="J2" s="7">
        <v>3</v>
      </c>
      <c r="K2" s="7">
        <v>1</v>
      </c>
      <c r="L2" s="7">
        <v>1</v>
      </c>
    </row>
    <row r="3" spans="1:12" x14ac:dyDescent="0.55000000000000004">
      <c r="A3" s="3">
        <v>1238911009</v>
      </c>
      <c r="B3" s="1" t="s">
        <v>14</v>
      </c>
      <c r="C3" s="6">
        <v>21283</v>
      </c>
      <c r="D3" s="6">
        <v>39668</v>
      </c>
      <c r="E3" s="6"/>
      <c r="F3" s="1" t="s">
        <v>20</v>
      </c>
      <c r="G3" s="2">
        <v>67860</v>
      </c>
      <c r="H3" s="7">
        <v>3</v>
      </c>
      <c r="I3" s="7">
        <v>1</v>
      </c>
      <c r="J3" s="7">
        <v>1</v>
      </c>
      <c r="K3" s="7">
        <v>3</v>
      </c>
      <c r="L3" s="7">
        <v>3</v>
      </c>
    </row>
    <row r="4" spans="1:12" x14ac:dyDescent="0.55000000000000004">
      <c r="A4" s="3">
        <v>1238911015</v>
      </c>
      <c r="B4" s="1" t="s">
        <v>14</v>
      </c>
      <c r="C4" s="6">
        <v>21798</v>
      </c>
      <c r="D4" s="6">
        <v>38976</v>
      </c>
      <c r="E4" s="6">
        <v>41564</v>
      </c>
      <c r="F4" s="1" t="s">
        <v>21</v>
      </c>
      <c r="G4" s="2">
        <v>43914</v>
      </c>
      <c r="H4" s="7">
        <v>3</v>
      </c>
      <c r="I4" s="7">
        <v>2</v>
      </c>
      <c r="J4" s="7">
        <v>2</v>
      </c>
      <c r="K4" s="7">
        <v>2</v>
      </c>
      <c r="L4" s="7">
        <v>2</v>
      </c>
    </row>
    <row r="5" spans="1:12" x14ac:dyDescent="0.55000000000000004">
      <c r="A5" s="3">
        <v>1238911016</v>
      </c>
      <c r="B5" s="1" t="s">
        <v>14</v>
      </c>
      <c r="C5" s="6">
        <v>31090</v>
      </c>
      <c r="D5" s="6">
        <v>41215</v>
      </c>
      <c r="E5" s="6">
        <v>43065</v>
      </c>
      <c r="F5" s="1" t="s">
        <v>22</v>
      </c>
      <c r="G5" s="2">
        <v>43914</v>
      </c>
      <c r="H5" s="7">
        <v>1</v>
      </c>
      <c r="I5" s="7">
        <v>3</v>
      </c>
      <c r="J5" s="7">
        <v>1</v>
      </c>
      <c r="K5" s="7">
        <v>2</v>
      </c>
      <c r="L5" s="7">
        <v>2</v>
      </c>
    </row>
    <row r="6" spans="1:12" x14ac:dyDescent="0.55000000000000004">
      <c r="A6" s="3">
        <v>1238911018</v>
      </c>
      <c r="B6" s="1" t="s">
        <v>14</v>
      </c>
      <c r="C6" s="6">
        <v>21846</v>
      </c>
      <c r="D6" s="6">
        <v>37904</v>
      </c>
      <c r="E6" s="6">
        <v>44297</v>
      </c>
      <c r="F6" s="1" t="s">
        <v>23</v>
      </c>
      <c r="G6" s="2">
        <v>74679.475000000006</v>
      </c>
      <c r="H6" s="7">
        <v>3</v>
      </c>
      <c r="I6" s="7">
        <v>2</v>
      </c>
      <c r="J6" s="7">
        <v>1</v>
      </c>
      <c r="K6" s="7">
        <v>3</v>
      </c>
      <c r="L6" s="7">
        <v>1</v>
      </c>
    </row>
    <row r="7" spans="1:12" x14ac:dyDescent="0.55000000000000004">
      <c r="A7" s="3">
        <v>1238911019</v>
      </c>
      <c r="B7" s="1" t="s">
        <v>14</v>
      </c>
      <c r="C7" s="6">
        <v>21903</v>
      </c>
      <c r="D7" s="6">
        <v>33014</v>
      </c>
      <c r="E7" s="6"/>
      <c r="F7" s="1" t="s">
        <v>13</v>
      </c>
      <c r="G7" s="2">
        <v>27300</v>
      </c>
      <c r="H7" s="7">
        <v>2</v>
      </c>
      <c r="I7" s="7">
        <v>3</v>
      </c>
      <c r="J7" s="7">
        <v>2</v>
      </c>
      <c r="K7" s="7">
        <v>2</v>
      </c>
      <c r="L7" s="7">
        <v>1</v>
      </c>
    </row>
    <row r="8" spans="1:12" x14ac:dyDescent="0.55000000000000004">
      <c r="A8" s="3">
        <v>1238911029</v>
      </c>
      <c r="B8" s="1" t="s">
        <v>14</v>
      </c>
      <c r="C8" s="6">
        <v>22295</v>
      </c>
      <c r="D8" s="6">
        <v>35783</v>
      </c>
      <c r="E8" s="6"/>
      <c r="F8" s="1" t="s">
        <v>13</v>
      </c>
      <c r="G8" s="2">
        <v>27404</v>
      </c>
      <c r="H8" s="7">
        <v>3</v>
      </c>
      <c r="I8" s="7">
        <v>1</v>
      </c>
      <c r="J8" s="7">
        <v>3</v>
      </c>
      <c r="K8" s="7">
        <v>3</v>
      </c>
      <c r="L8" s="7">
        <v>1</v>
      </c>
    </row>
    <row r="9" spans="1:12" x14ac:dyDescent="0.55000000000000004">
      <c r="A9" s="3">
        <v>1238911030</v>
      </c>
      <c r="B9" s="1" t="s">
        <v>14</v>
      </c>
      <c r="C9" s="6">
        <v>36769</v>
      </c>
      <c r="D9" s="6">
        <v>45631</v>
      </c>
      <c r="E9" s="6"/>
      <c r="F9" s="1" t="s">
        <v>13</v>
      </c>
      <c r="G9" s="2">
        <v>27404</v>
      </c>
      <c r="H9" s="7">
        <v>2</v>
      </c>
      <c r="I9" s="7">
        <v>3</v>
      </c>
      <c r="J9" s="7">
        <v>2</v>
      </c>
      <c r="K9" s="7">
        <v>2</v>
      </c>
      <c r="L9" s="7">
        <v>1</v>
      </c>
    </row>
    <row r="10" spans="1:12" x14ac:dyDescent="0.55000000000000004">
      <c r="A10" s="3">
        <v>1238911032</v>
      </c>
      <c r="B10" s="1" t="s">
        <v>14</v>
      </c>
      <c r="C10" s="6">
        <v>36193</v>
      </c>
      <c r="D10" s="6">
        <v>45285</v>
      </c>
      <c r="E10" s="6"/>
      <c r="F10" s="1" t="s">
        <v>13</v>
      </c>
      <c r="G10" s="2">
        <v>27300</v>
      </c>
      <c r="H10" s="7">
        <v>1</v>
      </c>
      <c r="I10" s="7">
        <v>3</v>
      </c>
      <c r="J10" s="7">
        <v>1</v>
      </c>
      <c r="K10" s="7">
        <v>3</v>
      </c>
      <c r="L10" s="7">
        <v>3</v>
      </c>
    </row>
    <row r="11" spans="1:12" x14ac:dyDescent="0.55000000000000004">
      <c r="A11" s="3">
        <v>1238911033</v>
      </c>
      <c r="B11" s="1" t="s">
        <v>14</v>
      </c>
      <c r="C11" s="6">
        <v>22413</v>
      </c>
      <c r="D11" s="6">
        <v>33014</v>
      </c>
      <c r="E11" s="6">
        <v>42730</v>
      </c>
      <c r="F11" s="1" t="s">
        <v>13</v>
      </c>
      <c r="G11" s="2">
        <v>27300</v>
      </c>
      <c r="H11" s="7">
        <v>2</v>
      </c>
      <c r="I11" s="7">
        <v>2</v>
      </c>
      <c r="J11" s="7">
        <v>3</v>
      </c>
      <c r="K11" s="7">
        <v>2</v>
      </c>
      <c r="L11" s="7">
        <v>1</v>
      </c>
    </row>
    <row r="12" spans="1:12" x14ac:dyDescent="0.55000000000000004">
      <c r="A12" s="3">
        <v>1238911036</v>
      </c>
      <c r="B12" s="1" t="s">
        <v>14</v>
      </c>
      <c r="C12" s="6">
        <v>22482</v>
      </c>
      <c r="D12" s="6">
        <v>39788</v>
      </c>
      <c r="E12" s="6"/>
      <c r="F12" s="1" t="s">
        <v>29</v>
      </c>
      <c r="G12" s="2">
        <v>48490</v>
      </c>
      <c r="H12" s="7">
        <v>2</v>
      </c>
      <c r="I12" s="7">
        <v>3</v>
      </c>
      <c r="J12" s="7">
        <v>3</v>
      </c>
      <c r="K12" s="7">
        <v>2</v>
      </c>
      <c r="L12" s="7">
        <v>3</v>
      </c>
    </row>
    <row r="13" spans="1:12" x14ac:dyDescent="0.55000000000000004">
      <c r="A13" s="3">
        <v>1238911037</v>
      </c>
      <c r="B13" s="1" t="s">
        <v>14</v>
      </c>
      <c r="C13" s="6">
        <v>22501</v>
      </c>
      <c r="D13" s="6">
        <v>39906</v>
      </c>
      <c r="E13" s="6"/>
      <c r="F13" s="1" t="s">
        <v>13</v>
      </c>
      <c r="G13" s="2">
        <v>28782</v>
      </c>
      <c r="H13" s="7">
        <v>2</v>
      </c>
      <c r="I13" s="7">
        <v>2</v>
      </c>
      <c r="J13" s="7">
        <v>1</v>
      </c>
      <c r="K13" s="7">
        <v>3</v>
      </c>
      <c r="L13" s="7">
        <v>1</v>
      </c>
    </row>
    <row r="14" spans="1:12" x14ac:dyDescent="0.55000000000000004">
      <c r="A14" s="3">
        <v>1238911040</v>
      </c>
      <c r="B14" s="1" t="s">
        <v>14</v>
      </c>
      <c r="C14" s="6">
        <v>22513</v>
      </c>
      <c r="D14" s="6">
        <v>38284</v>
      </c>
      <c r="E14" s="6">
        <v>45539</v>
      </c>
      <c r="F14" s="1" t="s">
        <v>30</v>
      </c>
      <c r="G14" s="2">
        <v>48317.5</v>
      </c>
      <c r="H14" s="7">
        <v>1</v>
      </c>
      <c r="I14" s="7">
        <v>1</v>
      </c>
      <c r="J14" s="7">
        <v>2</v>
      </c>
      <c r="K14" s="7">
        <v>2</v>
      </c>
      <c r="L14" s="7">
        <v>2</v>
      </c>
    </row>
    <row r="15" spans="1:12" x14ac:dyDescent="0.55000000000000004">
      <c r="A15" s="3">
        <v>1238911041</v>
      </c>
      <c r="B15" s="1" t="s">
        <v>14</v>
      </c>
      <c r="C15" s="6">
        <v>22555</v>
      </c>
      <c r="D15" s="6">
        <v>39081</v>
      </c>
      <c r="E15" s="6"/>
      <c r="F15" s="1" t="s">
        <v>25</v>
      </c>
      <c r="G15" s="2">
        <v>31044</v>
      </c>
      <c r="H15" s="7">
        <v>3</v>
      </c>
      <c r="I15" s="7">
        <v>3</v>
      </c>
      <c r="J15" s="7">
        <v>1</v>
      </c>
      <c r="K15" s="7">
        <v>1</v>
      </c>
      <c r="L15" s="7">
        <v>1</v>
      </c>
    </row>
    <row r="16" spans="1:12" x14ac:dyDescent="0.55000000000000004">
      <c r="A16" s="3">
        <v>1238911042</v>
      </c>
      <c r="B16" s="1" t="s">
        <v>14</v>
      </c>
      <c r="C16" s="6">
        <v>22532</v>
      </c>
      <c r="D16" s="6">
        <v>39668</v>
      </c>
      <c r="E16" s="6"/>
      <c r="F16" s="1" t="s">
        <v>13</v>
      </c>
      <c r="G16" s="2">
        <v>30732</v>
      </c>
      <c r="H16" s="7">
        <v>3</v>
      </c>
      <c r="I16" s="7">
        <v>2</v>
      </c>
      <c r="J16" s="7">
        <v>3</v>
      </c>
      <c r="K16" s="7">
        <v>2</v>
      </c>
      <c r="L16" s="7">
        <v>2</v>
      </c>
    </row>
    <row r="17" spans="1:12" x14ac:dyDescent="0.55000000000000004">
      <c r="A17" s="3">
        <v>1238911047</v>
      </c>
      <c r="B17" s="1" t="s">
        <v>14</v>
      </c>
      <c r="C17" s="6">
        <v>22823</v>
      </c>
      <c r="D17" s="6">
        <v>39846</v>
      </c>
      <c r="E17" s="6"/>
      <c r="F17" s="1" t="s">
        <v>32</v>
      </c>
      <c r="G17" s="2">
        <v>35139</v>
      </c>
      <c r="H17" s="7">
        <v>1</v>
      </c>
      <c r="I17" s="7">
        <v>2</v>
      </c>
      <c r="J17" s="7">
        <v>1</v>
      </c>
      <c r="K17" s="7">
        <v>1</v>
      </c>
      <c r="L17" s="7">
        <v>3</v>
      </c>
    </row>
    <row r="18" spans="1:12" x14ac:dyDescent="0.55000000000000004">
      <c r="A18" s="3">
        <v>1238911048</v>
      </c>
      <c r="B18" s="1" t="s">
        <v>14</v>
      </c>
      <c r="C18" s="6">
        <v>22858</v>
      </c>
      <c r="D18" s="6">
        <v>37904</v>
      </c>
      <c r="E18" s="6"/>
      <c r="F18" s="1" t="s">
        <v>33</v>
      </c>
      <c r="G18" s="2">
        <v>27300</v>
      </c>
      <c r="H18" s="7">
        <v>1</v>
      </c>
      <c r="I18" s="7">
        <v>2</v>
      </c>
      <c r="J18" s="7">
        <v>1</v>
      </c>
      <c r="K18" s="7">
        <v>1</v>
      </c>
      <c r="L18" s="7">
        <v>2</v>
      </c>
    </row>
    <row r="19" spans="1:12" x14ac:dyDescent="0.55000000000000004">
      <c r="A19" s="3">
        <v>1238911049</v>
      </c>
      <c r="B19" s="1" t="s">
        <v>14</v>
      </c>
      <c r="C19" s="6">
        <v>26991</v>
      </c>
      <c r="D19" s="6">
        <v>38664</v>
      </c>
      <c r="E19" s="6"/>
      <c r="F19" s="1" t="s">
        <v>13</v>
      </c>
      <c r="G19" s="2">
        <v>27300</v>
      </c>
      <c r="H19" s="7">
        <v>2</v>
      </c>
      <c r="I19" s="7">
        <v>1</v>
      </c>
      <c r="J19" s="7">
        <v>3</v>
      </c>
      <c r="K19" s="7">
        <v>1</v>
      </c>
      <c r="L19" s="7">
        <v>2</v>
      </c>
    </row>
    <row r="20" spans="1:12" x14ac:dyDescent="0.55000000000000004">
      <c r="A20" s="3">
        <v>1238911050</v>
      </c>
      <c r="B20" s="1" t="s">
        <v>14</v>
      </c>
      <c r="C20" s="6">
        <v>22888</v>
      </c>
      <c r="D20" s="6">
        <v>40019</v>
      </c>
      <c r="E20" s="6"/>
      <c r="F20" s="1" t="s">
        <v>13</v>
      </c>
      <c r="G20" s="2">
        <v>27664</v>
      </c>
      <c r="H20" s="7">
        <v>2</v>
      </c>
      <c r="I20" s="7">
        <v>3</v>
      </c>
      <c r="J20" s="7">
        <v>2</v>
      </c>
      <c r="K20" s="7">
        <v>1</v>
      </c>
      <c r="L20" s="7">
        <v>3</v>
      </c>
    </row>
    <row r="21" spans="1:12" x14ac:dyDescent="0.55000000000000004">
      <c r="A21" s="3">
        <v>1238911051</v>
      </c>
      <c r="B21" s="1" t="s">
        <v>14</v>
      </c>
      <c r="C21" s="6">
        <v>22932</v>
      </c>
      <c r="D21" s="6">
        <v>38721</v>
      </c>
      <c r="E21" s="6"/>
      <c r="F21" s="1" t="s">
        <v>25</v>
      </c>
      <c r="G21" s="2">
        <v>29822.5</v>
      </c>
      <c r="H21" s="7">
        <v>2</v>
      </c>
      <c r="I21" s="7">
        <v>1</v>
      </c>
      <c r="J21" s="7">
        <v>3</v>
      </c>
      <c r="K21" s="7">
        <v>2</v>
      </c>
      <c r="L21" s="7">
        <v>2</v>
      </c>
    </row>
    <row r="22" spans="1:12" x14ac:dyDescent="0.55000000000000004">
      <c r="A22" s="3">
        <v>1238911052</v>
      </c>
      <c r="B22" s="1" t="s">
        <v>14</v>
      </c>
      <c r="C22" s="6">
        <v>22997</v>
      </c>
      <c r="D22" s="6">
        <v>38009</v>
      </c>
      <c r="E22" s="6"/>
      <c r="F22" s="1" t="s">
        <v>17</v>
      </c>
      <c r="G22" s="2">
        <v>33800</v>
      </c>
      <c r="H22" s="7">
        <v>3</v>
      </c>
      <c r="I22" s="7">
        <v>2</v>
      </c>
      <c r="J22" s="7">
        <v>3</v>
      </c>
      <c r="K22" s="7">
        <v>2</v>
      </c>
      <c r="L22" s="7">
        <v>3</v>
      </c>
    </row>
    <row r="23" spans="1:12" x14ac:dyDescent="0.55000000000000004">
      <c r="A23" s="3">
        <v>1238911053</v>
      </c>
      <c r="B23" s="1" t="s">
        <v>14</v>
      </c>
      <c r="C23" s="6">
        <v>23036</v>
      </c>
      <c r="D23" s="6">
        <v>36535</v>
      </c>
      <c r="E23" s="6"/>
      <c r="F23" s="1" t="s">
        <v>13</v>
      </c>
      <c r="G23" s="2">
        <v>31460</v>
      </c>
      <c r="H23" s="7">
        <v>3</v>
      </c>
      <c r="I23" s="7">
        <v>3</v>
      </c>
      <c r="J23" s="7">
        <v>3</v>
      </c>
      <c r="K23" s="7">
        <v>1</v>
      </c>
      <c r="L23" s="7">
        <v>2</v>
      </c>
    </row>
    <row r="24" spans="1:12" x14ac:dyDescent="0.55000000000000004">
      <c r="A24" s="3">
        <v>1238911057</v>
      </c>
      <c r="B24" s="1" t="s">
        <v>14</v>
      </c>
      <c r="C24" s="6">
        <v>23153</v>
      </c>
      <c r="D24" s="6">
        <v>40172</v>
      </c>
      <c r="E24" s="6"/>
      <c r="F24" s="1" t="s">
        <v>34</v>
      </c>
      <c r="G24" s="2">
        <v>29900</v>
      </c>
      <c r="H24" s="7">
        <v>3</v>
      </c>
      <c r="I24" s="7">
        <v>3</v>
      </c>
      <c r="J24" s="7">
        <v>1</v>
      </c>
      <c r="K24" s="7">
        <v>3</v>
      </c>
      <c r="L24" s="7">
        <v>2</v>
      </c>
    </row>
    <row r="25" spans="1:12" x14ac:dyDescent="0.55000000000000004">
      <c r="A25" s="3">
        <v>1238911058</v>
      </c>
      <c r="B25" s="1" t="s">
        <v>14</v>
      </c>
      <c r="C25" s="6">
        <v>23012</v>
      </c>
      <c r="D25" s="6">
        <v>37729</v>
      </c>
      <c r="E25" s="6"/>
      <c r="F25" s="1" t="s">
        <v>25</v>
      </c>
      <c r="G25" s="2">
        <v>27404</v>
      </c>
      <c r="H25" s="7">
        <v>2</v>
      </c>
      <c r="I25" s="7">
        <v>1</v>
      </c>
      <c r="J25" s="7">
        <v>3</v>
      </c>
      <c r="K25" s="7">
        <v>3</v>
      </c>
      <c r="L25" s="7">
        <v>2</v>
      </c>
    </row>
    <row r="26" spans="1:12" x14ac:dyDescent="0.55000000000000004">
      <c r="A26" s="3">
        <v>1238911062</v>
      </c>
      <c r="B26" s="1" t="s">
        <v>14</v>
      </c>
      <c r="C26" s="6">
        <v>23237</v>
      </c>
      <c r="D26" s="6">
        <v>37476</v>
      </c>
      <c r="E26" s="6"/>
      <c r="F26" s="1" t="s">
        <v>13</v>
      </c>
      <c r="G26" s="2">
        <v>27300</v>
      </c>
      <c r="H26" s="7">
        <v>2</v>
      </c>
      <c r="I26" s="7">
        <v>2</v>
      </c>
      <c r="J26" s="7">
        <v>3</v>
      </c>
      <c r="K26" s="7">
        <v>1</v>
      </c>
      <c r="L26" s="7">
        <v>3</v>
      </c>
    </row>
    <row r="27" spans="1:12" x14ac:dyDescent="0.55000000000000004">
      <c r="A27" s="3">
        <v>1238911063</v>
      </c>
      <c r="B27" s="1" t="s">
        <v>14</v>
      </c>
      <c r="C27" s="6">
        <v>23041</v>
      </c>
      <c r="D27" s="6">
        <v>39338</v>
      </c>
      <c r="E27" s="6"/>
      <c r="F27" s="1" t="s">
        <v>13</v>
      </c>
      <c r="G27" s="2">
        <v>27300</v>
      </c>
      <c r="H27" s="7">
        <v>1</v>
      </c>
      <c r="I27" s="7">
        <v>1</v>
      </c>
      <c r="J27" s="7">
        <v>1</v>
      </c>
      <c r="K27" s="7">
        <v>2</v>
      </c>
      <c r="L27" s="7">
        <v>2</v>
      </c>
    </row>
    <row r="28" spans="1:12" x14ac:dyDescent="0.55000000000000004">
      <c r="A28" s="3">
        <v>1238911064</v>
      </c>
      <c r="B28" s="1" t="s">
        <v>14</v>
      </c>
      <c r="C28" s="6">
        <v>23303</v>
      </c>
      <c r="D28" s="6">
        <v>40471</v>
      </c>
      <c r="E28" s="6"/>
      <c r="F28" s="1" t="s">
        <v>13</v>
      </c>
      <c r="G28" s="2">
        <v>27794</v>
      </c>
      <c r="H28" s="7">
        <v>2</v>
      </c>
      <c r="I28" s="7">
        <v>3</v>
      </c>
      <c r="J28" s="7">
        <v>1</v>
      </c>
      <c r="K28" s="7">
        <v>1</v>
      </c>
      <c r="L28" s="7">
        <v>1</v>
      </c>
    </row>
    <row r="29" spans="1:12" x14ac:dyDescent="0.55000000000000004">
      <c r="A29" s="3">
        <v>1238911065</v>
      </c>
      <c r="B29" s="1" t="s">
        <v>14</v>
      </c>
      <c r="C29" s="6">
        <v>23316</v>
      </c>
      <c r="D29" s="6">
        <v>39788</v>
      </c>
      <c r="E29" s="6"/>
      <c r="F29" s="1" t="s">
        <v>37</v>
      </c>
      <c r="G29" s="2">
        <v>26520</v>
      </c>
      <c r="H29" s="7">
        <v>2</v>
      </c>
      <c r="I29" s="7">
        <v>2</v>
      </c>
      <c r="J29" s="7">
        <v>3</v>
      </c>
      <c r="K29" s="7">
        <v>1</v>
      </c>
      <c r="L29" s="7">
        <v>3</v>
      </c>
    </row>
    <row r="30" spans="1:12" x14ac:dyDescent="0.55000000000000004">
      <c r="A30" s="3">
        <v>1238911067</v>
      </c>
      <c r="B30" s="1" t="s">
        <v>14</v>
      </c>
      <c r="C30" s="6">
        <v>23468</v>
      </c>
      <c r="D30" s="6">
        <v>37779</v>
      </c>
      <c r="E30" s="6"/>
      <c r="F30" s="1" t="s">
        <v>32</v>
      </c>
      <c r="G30" s="2">
        <v>27569.324999999997</v>
      </c>
      <c r="H30" s="7">
        <v>1</v>
      </c>
      <c r="I30" s="7">
        <v>1</v>
      </c>
      <c r="J30" s="7">
        <v>1</v>
      </c>
      <c r="K30" s="7">
        <v>2</v>
      </c>
      <c r="L30" s="7">
        <v>1</v>
      </c>
    </row>
    <row r="31" spans="1:12" x14ac:dyDescent="0.55000000000000004">
      <c r="A31" s="3">
        <v>1238911068</v>
      </c>
      <c r="B31" s="1" t="s">
        <v>14</v>
      </c>
      <c r="C31" s="6">
        <v>23493</v>
      </c>
      <c r="D31" s="6">
        <v>42667</v>
      </c>
      <c r="E31" s="6">
        <v>43382</v>
      </c>
      <c r="F31" s="1" t="s">
        <v>32</v>
      </c>
      <c r="G31" s="2">
        <v>30706</v>
      </c>
      <c r="H31" s="7">
        <v>2</v>
      </c>
      <c r="I31" s="7">
        <v>1</v>
      </c>
      <c r="J31" s="7">
        <v>3</v>
      </c>
      <c r="K31" s="7">
        <v>2</v>
      </c>
      <c r="L31" s="7">
        <v>3</v>
      </c>
    </row>
    <row r="32" spans="1:12" x14ac:dyDescent="0.55000000000000004">
      <c r="A32" s="3">
        <v>1238911071</v>
      </c>
      <c r="B32" s="1" t="s">
        <v>14</v>
      </c>
      <c r="C32" s="6">
        <v>23621</v>
      </c>
      <c r="D32" s="6">
        <v>37114</v>
      </c>
      <c r="E32" s="6"/>
      <c r="F32" s="1" t="s">
        <v>13</v>
      </c>
      <c r="G32" s="2">
        <v>26650</v>
      </c>
      <c r="H32" s="7">
        <v>3</v>
      </c>
      <c r="I32" s="7">
        <v>1</v>
      </c>
      <c r="J32" s="7">
        <v>3</v>
      </c>
      <c r="K32" s="7">
        <v>2</v>
      </c>
      <c r="L32" s="7">
        <v>1</v>
      </c>
    </row>
    <row r="33" spans="1:12" x14ac:dyDescent="0.55000000000000004">
      <c r="A33" s="3">
        <v>1238911072</v>
      </c>
      <c r="B33" s="1" t="s">
        <v>14</v>
      </c>
      <c r="C33" s="6">
        <v>23647</v>
      </c>
      <c r="D33" s="6">
        <v>36498</v>
      </c>
      <c r="E33" s="6"/>
      <c r="F33" s="1" t="s">
        <v>25</v>
      </c>
      <c r="G33" s="2">
        <v>32266</v>
      </c>
      <c r="H33" s="7">
        <v>2</v>
      </c>
      <c r="I33" s="7">
        <v>3</v>
      </c>
      <c r="J33" s="7">
        <v>1</v>
      </c>
      <c r="K33" s="7">
        <v>3</v>
      </c>
      <c r="L33" s="7">
        <v>3</v>
      </c>
    </row>
    <row r="34" spans="1:12" x14ac:dyDescent="0.55000000000000004">
      <c r="A34" s="3">
        <v>1238911073</v>
      </c>
      <c r="B34" s="1" t="s">
        <v>14</v>
      </c>
      <c r="C34" s="6">
        <v>23680</v>
      </c>
      <c r="D34" s="6">
        <v>44455</v>
      </c>
      <c r="E34" s="6">
        <v>45171</v>
      </c>
      <c r="F34" s="1" t="s">
        <v>25</v>
      </c>
      <c r="G34" s="2">
        <v>32266</v>
      </c>
      <c r="H34" s="7">
        <v>3</v>
      </c>
      <c r="I34" s="7">
        <v>2</v>
      </c>
      <c r="J34" s="7">
        <v>3</v>
      </c>
      <c r="K34" s="7">
        <v>2</v>
      </c>
      <c r="L34" s="7">
        <v>2</v>
      </c>
    </row>
    <row r="35" spans="1:12" x14ac:dyDescent="0.55000000000000004">
      <c r="A35" s="3">
        <v>1238911076</v>
      </c>
      <c r="B35" s="1" t="s">
        <v>14</v>
      </c>
      <c r="C35" s="6">
        <v>23719</v>
      </c>
      <c r="D35" s="6">
        <v>37904</v>
      </c>
      <c r="E35" s="6"/>
      <c r="F35" s="1" t="s">
        <v>13</v>
      </c>
      <c r="G35" s="2">
        <v>27300</v>
      </c>
      <c r="H35" s="7">
        <v>2</v>
      </c>
      <c r="I35" s="7">
        <v>3</v>
      </c>
      <c r="J35" s="7">
        <v>1</v>
      </c>
      <c r="K35" s="7">
        <v>1</v>
      </c>
      <c r="L35" s="7">
        <v>1</v>
      </c>
    </row>
    <row r="36" spans="1:12" x14ac:dyDescent="0.55000000000000004">
      <c r="A36" s="3">
        <v>1238911077</v>
      </c>
      <c r="B36" s="1" t="s">
        <v>14</v>
      </c>
      <c r="C36" s="6">
        <v>23732</v>
      </c>
      <c r="D36" s="6">
        <v>40019</v>
      </c>
      <c r="E36" s="6"/>
      <c r="F36" s="1" t="s">
        <v>13</v>
      </c>
      <c r="G36" s="2">
        <v>27300</v>
      </c>
      <c r="H36" s="7">
        <v>1</v>
      </c>
      <c r="I36" s="7">
        <v>3</v>
      </c>
      <c r="J36" s="7">
        <v>1</v>
      </c>
      <c r="K36" s="7">
        <v>3</v>
      </c>
      <c r="L36" s="7">
        <v>2</v>
      </c>
    </row>
    <row r="37" spans="1:12" x14ac:dyDescent="0.55000000000000004">
      <c r="A37" s="3">
        <v>1238911078</v>
      </c>
      <c r="B37" s="1" t="s">
        <v>14</v>
      </c>
      <c r="C37" s="6">
        <v>23876</v>
      </c>
      <c r="D37" s="6">
        <v>38009</v>
      </c>
      <c r="E37" s="6">
        <v>45201</v>
      </c>
      <c r="F37" s="1" t="s">
        <v>26</v>
      </c>
      <c r="G37" s="2">
        <v>77809.224999999991</v>
      </c>
      <c r="H37" s="7">
        <v>3</v>
      </c>
      <c r="I37" s="7">
        <v>3</v>
      </c>
      <c r="J37" s="7">
        <v>2</v>
      </c>
      <c r="K37" s="7">
        <v>1</v>
      </c>
      <c r="L37" s="7">
        <v>3</v>
      </c>
    </row>
    <row r="38" spans="1:12" x14ac:dyDescent="0.55000000000000004">
      <c r="A38" s="3">
        <v>1238911080</v>
      </c>
      <c r="B38" s="1" t="s">
        <v>14</v>
      </c>
      <c r="C38" s="6">
        <v>24076</v>
      </c>
      <c r="D38" s="6">
        <v>37105</v>
      </c>
      <c r="E38" s="6">
        <v>42146</v>
      </c>
      <c r="F38" s="1" t="s">
        <v>36</v>
      </c>
      <c r="G38" s="2">
        <v>59097.675000000003</v>
      </c>
      <c r="H38" s="7">
        <v>1</v>
      </c>
      <c r="I38" s="7">
        <v>1</v>
      </c>
      <c r="J38" s="7">
        <v>3</v>
      </c>
      <c r="K38" s="7">
        <v>1</v>
      </c>
      <c r="L38" s="7">
        <v>2</v>
      </c>
    </row>
    <row r="39" spans="1:12" x14ac:dyDescent="0.55000000000000004">
      <c r="A39" s="3">
        <v>1238911083</v>
      </c>
      <c r="B39" s="1" t="s">
        <v>14</v>
      </c>
      <c r="C39" s="6">
        <v>24037</v>
      </c>
      <c r="D39" s="6">
        <v>40172</v>
      </c>
      <c r="E39" s="6"/>
      <c r="F39" s="1" t="s">
        <v>13</v>
      </c>
      <c r="G39" s="2">
        <v>28782</v>
      </c>
      <c r="H39" s="7">
        <v>1</v>
      </c>
      <c r="I39" s="7">
        <v>2</v>
      </c>
      <c r="J39" s="7">
        <v>2</v>
      </c>
      <c r="K39" s="7">
        <v>3</v>
      </c>
      <c r="L39" s="7">
        <v>2</v>
      </c>
    </row>
    <row r="40" spans="1:12" x14ac:dyDescent="0.55000000000000004">
      <c r="A40" s="3">
        <v>1238911085</v>
      </c>
      <c r="B40" s="1" t="s">
        <v>14</v>
      </c>
      <c r="C40" s="6">
        <v>24045</v>
      </c>
      <c r="D40" s="6">
        <v>35783</v>
      </c>
      <c r="E40" s="6"/>
      <c r="F40" s="1" t="s">
        <v>13</v>
      </c>
      <c r="G40" s="2">
        <v>26520</v>
      </c>
      <c r="H40" s="7">
        <v>2</v>
      </c>
      <c r="I40" s="7">
        <v>3</v>
      </c>
      <c r="J40" s="7">
        <v>2</v>
      </c>
      <c r="K40" s="7">
        <v>1</v>
      </c>
      <c r="L40" s="7">
        <v>2</v>
      </c>
    </row>
    <row r="41" spans="1:12" x14ac:dyDescent="0.55000000000000004">
      <c r="A41" s="3">
        <v>1238911087</v>
      </c>
      <c r="B41" s="1" t="s">
        <v>14</v>
      </c>
      <c r="C41" s="6">
        <v>24086</v>
      </c>
      <c r="D41" s="6">
        <v>40386</v>
      </c>
      <c r="E41" s="6"/>
      <c r="F41" s="1" t="s">
        <v>13</v>
      </c>
      <c r="G41" s="2">
        <v>28210</v>
      </c>
      <c r="H41" s="7">
        <v>1</v>
      </c>
      <c r="I41" s="7">
        <v>2</v>
      </c>
      <c r="J41" s="7">
        <v>2</v>
      </c>
      <c r="K41" s="7">
        <v>1</v>
      </c>
      <c r="L41" s="7">
        <v>1</v>
      </c>
    </row>
    <row r="42" spans="1:12" x14ac:dyDescent="0.55000000000000004">
      <c r="A42" s="3">
        <v>1238911088</v>
      </c>
      <c r="B42" s="1" t="s">
        <v>14</v>
      </c>
      <c r="C42" s="6">
        <v>24112</v>
      </c>
      <c r="D42" s="6">
        <v>43320</v>
      </c>
      <c r="E42" s="6">
        <v>44125</v>
      </c>
      <c r="F42" s="1" t="s">
        <v>25</v>
      </c>
      <c r="G42" s="2">
        <v>27586</v>
      </c>
      <c r="H42" s="7">
        <v>3</v>
      </c>
      <c r="I42" s="7">
        <v>1</v>
      </c>
      <c r="J42" s="7">
        <v>2</v>
      </c>
      <c r="K42" s="7">
        <v>2</v>
      </c>
      <c r="L42" s="7">
        <v>2</v>
      </c>
    </row>
    <row r="43" spans="1:12" x14ac:dyDescent="0.55000000000000004">
      <c r="A43" s="3">
        <v>1238911090</v>
      </c>
      <c r="B43" s="1" t="s">
        <v>14</v>
      </c>
      <c r="C43" s="6">
        <v>24134</v>
      </c>
      <c r="D43" s="6">
        <v>40471</v>
      </c>
      <c r="E43" s="6"/>
      <c r="F43" s="1" t="s">
        <v>13</v>
      </c>
      <c r="G43" s="2">
        <v>27300</v>
      </c>
      <c r="H43" s="7">
        <v>2</v>
      </c>
      <c r="I43" s="7">
        <v>3</v>
      </c>
      <c r="J43" s="7">
        <v>1</v>
      </c>
      <c r="K43" s="7">
        <v>1</v>
      </c>
      <c r="L43" s="7">
        <v>3</v>
      </c>
    </row>
    <row r="44" spans="1:12" x14ac:dyDescent="0.55000000000000004">
      <c r="A44" s="3">
        <v>1238911091</v>
      </c>
      <c r="B44" s="1" t="s">
        <v>14</v>
      </c>
      <c r="C44" s="6">
        <v>24175</v>
      </c>
      <c r="D44" s="6">
        <v>39788</v>
      </c>
      <c r="E44" s="6">
        <v>42067</v>
      </c>
      <c r="F44" s="1" t="s">
        <v>41</v>
      </c>
      <c r="G44" s="2">
        <v>30673.75</v>
      </c>
      <c r="H44" s="7">
        <v>1</v>
      </c>
      <c r="I44" s="7">
        <v>1</v>
      </c>
      <c r="J44" s="7">
        <v>1</v>
      </c>
      <c r="K44" s="7">
        <v>1</v>
      </c>
      <c r="L44" s="7">
        <v>2</v>
      </c>
    </row>
    <row r="45" spans="1:12" x14ac:dyDescent="0.55000000000000004">
      <c r="A45" s="3">
        <v>1238911097</v>
      </c>
      <c r="B45" s="1" t="s">
        <v>14</v>
      </c>
      <c r="C45" s="6">
        <v>24298</v>
      </c>
      <c r="D45" s="6">
        <v>37114</v>
      </c>
      <c r="E45" s="6"/>
      <c r="F45" s="1" t="s">
        <v>44</v>
      </c>
      <c r="G45" s="2">
        <v>30053.75</v>
      </c>
      <c r="H45" s="7">
        <v>3</v>
      </c>
      <c r="I45" s="7">
        <v>2</v>
      </c>
      <c r="J45" s="7">
        <v>3</v>
      </c>
      <c r="K45" s="7">
        <v>1</v>
      </c>
      <c r="L45" s="7">
        <v>3</v>
      </c>
    </row>
    <row r="46" spans="1:12" x14ac:dyDescent="0.55000000000000004">
      <c r="A46" s="3">
        <v>1238911100</v>
      </c>
      <c r="B46" s="1" t="s">
        <v>14</v>
      </c>
      <c r="C46" s="6">
        <v>35199</v>
      </c>
      <c r="D46" s="6">
        <v>44455</v>
      </c>
      <c r="E46" s="6"/>
      <c r="F46" s="1" t="s">
        <v>13</v>
      </c>
      <c r="G46" s="2">
        <v>29926</v>
      </c>
      <c r="H46" s="7">
        <v>3</v>
      </c>
      <c r="I46" s="7">
        <v>3</v>
      </c>
      <c r="J46" s="7">
        <v>2</v>
      </c>
      <c r="K46" s="7">
        <v>2</v>
      </c>
      <c r="L46" s="7">
        <v>3</v>
      </c>
    </row>
    <row r="47" spans="1:12" x14ac:dyDescent="0.55000000000000004">
      <c r="A47" s="3">
        <v>1238911101</v>
      </c>
      <c r="B47" s="1" t="s">
        <v>14</v>
      </c>
      <c r="C47" s="6">
        <v>24323</v>
      </c>
      <c r="D47" s="6">
        <v>39846</v>
      </c>
      <c r="E47" s="6"/>
      <c r="F47" s="1" t="s">
        <v>46</v>
      </c>
      <c r="G47" s="2">
        <v>66352</v>
      </c>
      <c r="H47" s="7">
        <v>1</v>
      </c>
      <c r="I47" s="7">
        <v>3</v>
      </c>
      <c r="J47" s="7">
        <v>2</v>
      </c>
      <c r="K47" s="7">
        <v>3</v>
      </c>
      <c r="L47" s="7">
        <v>3</v>
      </c>
    </row>
    <row r="48" spans="1:12" x14ac:dyDescent="0.55000000000000004">
      <c r="A48" s="3">
        <v>1238911103</v>
      </c>
      <c r="B48" s="1" t="s">
        <v>14</v>
      </c>
      <c r="C48" s="6">
        <v>24295</v>
      </c>
      <c r="D48" s="6">
        <v>40019</v>
      </c>
      <c r="E48" s="6"/>
      <c r="F48" s="1" t="s">
        <v>32</v>
      </c>
      <c r="G48" s="2">
        <v>27300</v>
      </c>
      <c r="H48" s="7">
        <v>3</v>
      </c>
      <c r="I48" s="7">
        <v>3</v>
      </c>
      <c r="J48" s="7">
        <v>2</v>
      </c>
      <c r="K48" s="7">
        <v>1</v>
      </c>
      <c r="L48" s="7">
        <v>2</v>
      </c>
    </row>
    <row r="49" spans="1:12" x14ac:dyDescent="0.55000000000000004">
      <c r="A49" s="3">
        <v>1238911104</v>
      </c>
      <c r="B49" s="1" t="s">
        <v>14</v>
      </c>
      <c r="C49" s="6">
        <v>32570</v>
      </c>
      <c r="D49" s="6">
        <v>42738</v>
      </c>
      <c r="E49" s="6"/>
      <c r="F49" s="1" t="s">
        <v>32</v>
      </c>
      <c r="G49" s="2">
        <v>27300</v>
      </c>
      <c r="H49" s="7">
        <v>3</v>
      </c>
      <c r="I49" s="7">
        <v>1</v>
      </c>
      <c r="J49" s="7">
        <v>1</v>
      </c>
      <c r="K49" s="7">
        <v>3</v>
      </c>
      <c r="L49" s="7">
        <v>2</v>
      </c>
    </row>
    <row r="50" spans="1:12" x14ac:dyDescent="0.55000000000000004">
      <c r="A50" s="3">
        <v>1238911109</v>
      </c>
      <c r="B50" s="1" t="s">
        <v>14</v>
      </c>
      <c r="C50" s="6">
        <v>24420</v>
      </c>
      <c r="D50" s="6">
        <v>37105</v>
      </c>
      <c r="E50" s="6"/>
      <c r="F50" s="1" t="s">
        <v>13</v>
      </c>
      <c r="G50" s="2">
        <v>30212</v>
      </c>
      <c r="H50" s="7">
        <v>3</v>
      </c>
      <c r="I50" s="7">
        <v>1</v>
      </c>
      <c r="J50" s="7">
        <v>1</v>
      </c>
      <c r="K50" s="7">
        <v>2</v>
      </c>
      <c r="L50" s="7">
        <v>1</v>
      </c>
    </row>
    <row r="51" spans="1:12" x14ac:dyDescent="0.55000000000000004">
      <c r="A51" s="3">
        <v>1238911113</v>
      </c>
      <c r="B51" s="1" t="s">
        <v>14</v>
      </c>
      <c r="C51" s="6">
        <v>24550</v>
      </c>
      <c r="D51" s="6">
        <v>35783</v>
      </c>
      <c r="E51" s="6"/>
      <c r="F51" s="1" t="s">
        <v>25</v>
      </c>
      <c r="G51" s="2">
        <v>27768</v>
      </c>
      <c r="H51" s="7">
        <v>1</v>
      </c>
      <c r="I51" s="7">
        <v>2</v>
      </c>
      <c r="J51" s="7">
        <v>1</v>
      </c>
      <c r="K51" s="7">
        <v>1</v>
      </c>
      <c r="L51" s="7">
        <v>1</v>
      </c>
    </row>
    <row r="52" spans="1:12" x14ac:dyDescent="0.55000000000000004">
      <c r="A52" s="3">
        <v>1238911114</v>
      </c>
      <c r="B52" s="1" t="s">
        <v>14</v>
      </c>
      <c r="C52" s="6">
        <v>24628</v>
      </c>
      <c r="D52" s="6">
        <v>36353</v>
      </c>
      <c r="E52" s="6"/>
      <c r="F52" s="1" t="s">
        <v>13</v>
      </c>
      <c r="G52" s="2">
        <v>26000</v>
      </c>
      <c r="H52" s="7">
        <v>1</v>
      </c>
      <c r="I52" s="7">
        <v>2</v>
      </c>
      <c r="J52" s="7">
        <v>1</v>
      </c>
      <c r="K52" s="7">
        <v>2</v>
      </c>
      <c r="L52" s="7">
        <v>1</v>
      </c>
    </row>
    <row r="53" spans="1:12" x14ac:dyDescent="0.55000000000000004">
      <c r="A53" s="3">
        <v>1238911115</v>
      </c>
      <c r="B53" s="1" t="s">
        <v>14</v>
      </c>
      <c r="C53" s="6">
        <v>24650</v>
      </c>
      <c r="D53" s="6">
        <v>40386</v>
      </c>
      <c r="E53" s="6"/>
      <c r="F53" s="1" t="s">
        <v>50</v>
      </c>
      <c r="G53" s="2">
        <v>66969.174999999988</v>
      </c>
      <c r="H53" s="7">
        <v>3</v>
      </c>
      <c r="I53" s="7">
        <v>1</v>
      </c>
      <c r="J53" s="7">
        <v>3</v>
      </c>
      <c r="K53" s="7">
        <v>2</v>
      </c>
      <c r="L53" s="7">
        <v>2</v>
      </c>
    </row>
    <row r="54" spans="1:12" x14ac:dyDescent="0.55000000000000004">
      <c r="A54" s="3">
        <v>1238911116</v>
      </c>
      <c r="B54" s="1" t="s">
        <v>14</v>
      </c>
      <c r="C54" s="6">
        <v>36045</v>
      </c>
      <c r="D54" s="6">
        <v>43780</v>
      </c>
      <c r="E54" s="6"/>
      <c r="F54" s="1" t="s">
        <v>51</v>
      </c>
      <c r="G54" s="2">
        <v>39431.25</v>
      </c>
      <c r="H54" s="7">
        <v>3</v>
      </c>
      <c r="I54" s="7">
        <v>3</v>
      </c>
      <c r="J54" s="7">
        <v>1</v>
      </c>
      <c r="K54" s="7">
        <v>2</v>
      </c>
      <c r="L54" s="7">
        <v>2</v>
      </c>
    </row>
    <row r="55" spans="1:12" x14ac:dyDescent="0.55000000000000004">
      <c r="A55" s="3">
        <v>1238911118</v>
      </c>
      <c r="B55" s="1" t="s">
        <v>14</v>
      </c>
      <c r="C55" s="6">
        <v>24739</v>
      </c>
      <c r="D55" s="6">
        <v>39338</v>
      </c>
      <c r="E55" s="6"/>
      <c r="F55" s="1" t="s">
        <v>53</v>
      </c>
      <c r="G55" s="2">
        <v>190526.05</v>
      </c>
      <c r="H55" s="7">
        <v>2</v>
      </c>
      <c r="I55" s="7">
        <v>2</v>
      </c>
      <c r="J55" s="7">
        <v>3</v>
      </c>
      <c r="K55" s="7">
        <v>2</v>
      </c>
      <c r="L55" s="7">
        <v>2</v>
      </c>
    </row>
    <row r="56" spans="1:12" x14ac:dyDescent="0.55000000000000004">
      <c r="A56" s="3">
        <v>1238911119</v>
      </c>
      <c r="B56" s="1" t="s">
        <v>14</v>
      </c>
      <c r="C56" s="6">
        <v>24704</v>
      </c>
      <c r="D56" s="6">
        <v>40471</v>
      </c>
      <c r="E56" s="6"/>
      <c r="F56" s="1" t="s">
        <v>13</v>
      </c>
      <c r="G56" s="2">
        <v>27404</v>
      </c>
      <c r="H56" s="7">
        <v>3</v>
      </c>
      <c r="I56" s="7">
        <v>3</v>
      </c>
      <c r="J56" s="7">
        <v>1</v>
      </c>
      <c r="K56" s="7">
        <v>3</v>
      </c>
      <c r="L56" s="7">
        <v>3</v>
      </c>
    </row>
    <row r="57" spans="1:12" x14ac:dyDescent="0.55000000000000004">
      <c r="A57" s="3">
        <v>1238911123</v>
      </c>
      <c r="B57" s="1" t="s">
        <v>14</v>
      </c>
      <c r="C57" s="6">
        <v>24884</v>
      </c>
      <c r="D57" s="6">
        <v>38284</v>
      </c>
      <c r="E57" s="6"/>
      <c r="F57" s="1" t="s">
        <v>44</v>
      </c>
      <c r="G57" s="2">
        <v>34840</v>
      </c>
      <c r="H57" s="7">
        <v>3</v>
      </c>
      <c r="I57" s="7">
        <v>2</v>
      </c>
      <c r="J57" s="7">
        <v>2</v>
      </c>
      <c r="K57" s="7">
        <v>2</v>
      </c>
      <c r="L57" s="7">
        <v>3</v>
      </c>
    </row>
    <row r="58" spans="1:12" x14ac:dyDescent="0.55000000000000004">
      <c r="A58" s="3">
        <v>1238911124</v>
      </c>
      <c r="B58" s="1" t="s">
        <v>14</v>
      </c>
      <c r="C58" s="6">
        <v>24890</v>
      </c>
      <c r="D58" s="6">
        <v>39081</v>
      </c>
      <c r="E58" s="6"/>
      <c r="F58" s="1" t="s">
        <v>25</v>
      </c>
      <c r="G58" s="2">
        <v>27300</v>
      </c>
      <c r="H58" s="7">
        <v>2</v>
      </c>
      <c r="I58" s="7">
        <v>2</v>
      </c>
      <c r="J58" s="7">
        <v>2</v>
      </c>
      <c r="K58" s="7">
        <v>3</v>
      </c>
      <c r="L58" s="7">
        <v>1</v>
      </c>
    </row>
    <row r="59" spans="1:12" x14ac:dyDescent="0.55000000000000004">
      <c r="A59" s="3">
        <v>1238911125</v>
      </c>
      <c r="B59" s="1" t="s">
        <v>14</v>
      </c>
      <c r="C59" s="6">
        <v>24920</v>
      </c>
      <c r="D59" s="6">
        <v>44782</v>
      </c>
      <c r="E59" s="6">
        <v>45884</v>
      </c>
      <c r="F59" s="1" t="s">
        <v>13</v>
      </c>
      <c r="G59" s="2">
        <v>27300</v>
      </c>
      <c r="H59" s="7">
        <v>3</v>
      </c>
      <c r="I59" s="7">
        <v>3</v>
      </c>
      <c r="J59" s="7">
        <v>3</v>
      </c>
      <c r="K59" s="7">
        <v>2</v>
      </c>
      <c r="L59" s="7">
        <v>3</v>
      </c>
    </row>
    <row r="60" spans="1:12" x14ac:dyDescent="0.55000000000000004">
      <c r="A60" s="3">
        <v>1238911127</v>
      </c>
      <c r="B60" s="1" t="s">
        <v>14</v>
      </c>
      <c r="C60" s="6">
        <v>24964</v>
      </c>
      <c r="D60" s="6">
        <v>36498</v>
      </c>
      <c r="E60" s="6"/>
      <c r="F60" s="1" t="s">
        <v>56</v>
      </c>
      <c r="G60" s="2">
        <v>174453.17500000002</v>
      </c>
      <c r="H60" s="7">
        <v>2</v>
      </c>
      <c r="I60" s="7">
        <v>2</v>
      </c>
      <c r="J60" s="7">
        <v>2</v>
      </c>
      <c r="K60" s="7">
        <v>3</v>
      </c>
      <c r="L60" s="7">
        <v>3</v>
      </c>
    </row>
    <row r="61" spans="1:12" x14ac:dyDescent="0.55000000000000004">
      <c r="A61" s="3">
        <v>1238911129</v>
      </c>
      <c r="B61" s="1" t="s">
        <v>14</v>
      </c>
      <c r="C61" s="6">
        <v>25030</v>
      </c>
      <c r="D61" s="6">
        <v>38976</v>
      </c>
      <c r="E61" s="6">
        <v>44132</v>
      </c>
      <c r="F61" s="1" t="s">
        <v>58</v>
      </c>
      <c r="G61" s="2">
        <v>34476</v>
      </c>
      <c r="H61" s="7">
        <v>3</v>
      </c>
      <c r="I61" s="7">
        <v>2</v>
      </c>
      <c r="J61" s="7">
        <v>2</v>
      </c>
      <c r="K61" s="7">
        <v>3</v>
      </c>
      <c r="L61" s="7">
        <v>3</v>
      </c>
    </row>
    <row r="62" spans="1:12" x14ac:dyDescent="0.55000000000000004">
      <c r="A62" s="3">
        <v>1238911130</v>
      </c>
      <c r="B62" s="1" t="s">
        <v>14</v>
      </c>
      <c r="C62" s="6">
        <v>25154</v>
      </c>
      <c r="D62" s="6">
        <v>39846</v>
      </c>
      <c r="E62" s="6"/>
      <c r="F62" s="1" t="s">
        <v>13</v>
      </c>
      <c r="G62" s="2">
        <v>27612</v>
      </c>
      <c r="H62" s="7">
        <v>2</v>
      </c>
      <c r="I62" s="7">
        <v>3</v>
      </c>
      <c r="J62" s="7">
        <v>3</v>
      </c>
      <c r="K62" s="7">
        <v>3</v>
      </c>
      <c r="L62" s="7">
        <v>3</v>
      </c>
    </row>
    <row r="63" spans="1:12" x14ac:dyDescent="0.55000000000000004">
      <c r="A63" s="3">
        <v>1238911131</v>
      </c>
      <c r="B63" s="1" t="s">
        <v>14</v>
      </c>
      <c r="C63" s="6">
        <v>25189</v>
      </c>
      <c r="D63" s="6">
        <v>37904</v>
      </c>
      <c r="E63" s="6"/>
      <c r="F63" s="1" t="s">
        <v>13</v>
      </c>
      <c r="G63" s="2">
        <v>31668</v>
      </c>
      <c r="H63" s="7">
        <v>2</v>
      </c>
      <c r="I63" s="7">
        <v>3</v>
      </c>
      <c r="J63" s="7">
        <v>2</v>
      </c>
      <c r="K63" s="7">
        <v>3</v>
      </c>
      <c r="L63" s="7">
        <v>1</v>
      </c>
    </row>
    <row r="64" spans="1:12" x14ac:dyDescent="0.55000000000000004">
      <c r="A64" s="3">
        <v>1238911132</v>
      </c>
      <c r="B64" s="1" t="s">
        <v>14</v>
      </c>
      <c r="C64" s="6">
        <v>25265</v>
      </c>
      <c r="D64" s="6">
        <v>40019</v>
      </c>
      <c r="E64" s="6"/>
      <c r="F64" s="1" t="s">
        <v>48</v>
      </c>
      <c r="G64" s="2">
        <v>68271.450000000012</v>
      </c>
      <c r="H64" s="7">
        <v>2</v>
      </c>
      <c r="I64" s="7">
        <v>3</v>
      </c>
      <c r="J64" s="7">
        <v>1</v>
      </c>
      <c r="K64" s="7">
        <v>2</v>
      </c>
      <c r="L64" s="7">
        <v>2</v>
      </c>
    </row>
    <row r="65" spans="1:12" x14ac:dyDescent="0.55000000000000004">
      <c r="A65" s="3">
        <v>1238911133</v>
      </c>
      <c r="B65" s="1" t="s">
        <v>14</v>
      </c>
      <c r="C65" s="6">
        <v>25288</v>
      </c>
      <c r="D65" s="6">
        <v>38721</v>
      </c>
      <c r="E65" s="6"/>
      <c r="F65" s="1" t="s">
        <v>44</v>
      </c>
      <c r="G65" s="2">
        <v>31200</v>
      </c>
      <c r="H65" s="7">
        <v>3</v>
      </c>
      <c r="I65" s="7">
        <v>1</v>
      </c>
      <c r="J65" s="7">
        <v>1</v>
      </c>
      <c r="K65" s="7">
        <v>3</v>
      </c>
      <c r="L65" s="7">
        <v>1</v>
      </c>
    </row>
    <row r="66" spans="1:12" x14ac:dyDescent="0.55000000000000004">
      <c r="A66" s="3">
        <v>1238911134</v>
      </c>
      <c r="B66" s="1" t="s">
        <v>14</v>
      </c>
      <c r="C66" s="6">
        <v>25301</v>
      </c>
      <c r="D66" s="6">
        <v>38009</v>
      </c>
      <c r="E66" s="6"/>
      <c r="F66" s="1" t="s">
        <v>13</v>
      </c>
      <c r="G66" s="2">
        <v>27066.25</v>
      </c>
      <c r="H66" s="7">
        <v>2</v>
      </c>
      <c r="I66" s="7">
        <v>1</v>
      </c>
      <c r="J66" s="7">
        <v>2</v>
      </c>
      <c r="K66" s="7">
        <v>2</v>
      </c>
      <c r="L66" s="7">
        <v>2</v>
      </c>
    </row>
    <row r="67" spans="1:12" x14ac:dyDescent="0.55000000000000004">
      <c r="A67" s="3">
        <v>1238911139</v>
      </c>
      <c r="B67" s="1" t="s">
        <v>14</v>
      </c>
      <c r="C67" s="6">
        <v>25362</v>
      </c>
      <c r="D67" s="6">
        <v>40172</v>
      </c>
      <c r="E67" s="6"/>
      <c r="F67" s="1" t="s">
        <v>13</v>
      </c>
      <c r="G67" s="2">
        <v>27300</v>
      </c>
      <c r="H67" s="7">
        <v>3</v>
      </c>
      <c r="I67" s="7">
        <v>1</v>
      </c>
      <c r="J67" s="7">
        <v>3</v>
      </c>
      <c r="K67" s="7">
        <v>1</v>
      </c>
      <c r="L67" s="7">
        <v>2</v>
      </c>
    </row>
    <row r="68" spans="1:12" x14ac:dyDescent="0.55000000000000004">
      <c r="A68" s="3">
        <v>1238911142</v>
      </c>
      <c r="B68" s="1" t="s">
        <v>14</v>
      </c>
      <c r="C68" s="6">
        <v>23938</v>
      </c>
      <c r="D68" s="6">
        <v>43659</v>
      </c>
      <c r="E68" s="6">
        <v>44694</v>
      </c>
      <c r="F68" s="1" t="s">
        <v>13</v>
      </c>
      <c r="G68" s="2">
        <v>30550</v>
      </c>
      <c r="H68" s="7">
        <v>1</v>
      </c>
      <c r="I68" s="7">
        <v>1</v>
      </c>
      <c r="J68" s="7">
        <v>3</v>
      </c>
      <c r="K68" s="7">
        <v>1</v>
      </c>
      <c r="L68" s="7">
        <v>1</v>
      </c>
    </row>
    <row r="69" spans="1:12" x14ac:dyDescent="0.55000000000000004">
      <c r="A69" s="3">
        <v>1238911146</v>
      </c>
      <c r="B69" s="1" t="s">
        <v>14</v>
      </c>
      <c r="C69" s="6">
        <v>25573</v>
      </c>
      <c r="D69" s="6">
        <v>40471</v>
      </c>
      <c r="E69" s="6"/>
      <c r="F69" s="1" t="s">
        <v>25</v>
      </c>
      <c r="G69" s="2">
        <v>29198</v>
      </c>
      <c r="H69" s="7">
        <v>3</v>
      </c>
      <c r="I69" s="7">
        <v>2</v>
      </c>
      <c r="J69" s="7">
        <v>1</v>
      </c>
      <c r="K69" s="7">
        <v>2</v>
      </c>
      <c r="L69" s="7">
        <v>1</v>
      </c>
    </row>
    <row r="70" spans="1:12" x14ac:dyDescent="0.55000000000000004">
      <c r="A70" s="3">
        <v>1238911147</v>
      </c>
      <c r="B70" s="1" t="s">
        <v>14</v>
      </c>
      <c r="C70" s="6">
        <v>25643</v>
      </c>
      <c r="D70" s="6">
        <v>39788</v>
      </c>
      <c r="E70" s="6"/>
      <c r="F70" s="1" t="s">
        <v>25</v>
      </c>
      <c r="G70" s="2">
        <v>28080</v>
      </c>
      <c r="H70" s="7">
        <v>3</v>
      </c>
      <c r="I70" s="7">
        <v>3</v>
      </c>
      <c r="J70" s="7">
        <v>2</v>
      </c>
      <c r="K70" s="7">
        <v>3</v>
      </c>
      <c r="L70" s="7">
        <v>2</v>
      </c>
    </row>
    <row r="71" spans="1:12" x14ac:dyDescent="0.55000000000000004">
      <c r="A71" s="3">
        <v>1238911148</v>
      </c>
      <c r="B71" s="1" t="s">
        <v>14</v>
      </c>
      <c r="C71" s="6">
        <v>25646</v>
      </c>
      <c r="D71" s="6">
        <v>39906</v>
      </c>
      <c r="E71" s="6"/>
      <c r="F71" s="1" t="s">
        <v>61</v>
      </c>
      <c r="G71" s="2">
        <v>27686.25</v>
      </c>
      <c r="H71" s="7">
        <v>2</v>
      </c>
      <c r="I71" s="7">
        <v>2</v>
      </c>
      <c r="J71" s="7">
        <v>3</v>
      </c>
      <c r="K71" s="7">
        <v>1</v>
      </c>
      <c r="L71" s="7">
        <v>3</v>
      </c>
    </row>
    <row r="72" spans="1:12" x14ac:dyDescent="0.55000000000000004">
      <c r="A72" s="3">
        <v>1238911149</v>
      </c>
      <c r="B72" s="1" t="s">
        <v>14</v>
      </c>
      <c r="C72" s="6">
        <v>25661</v>
      </c>
      <c r="D72" s="6">
        <v>37779</v>
      </c>
      <c r="E72" s="6"/>
      <c r="F72" s="1" t="s">
        <v>44</v>
      </c>
      <c r="G72" s="2">
        <v>30108</v>
      </c>
      <c r="H72" s="7">
        <v>1</v>
      </c>
      <c r="I72" s="7">
        <v>2</v>
      </c>
      <c r="J72" s="7">
        <v>2</v>
      </c>
      <c r="K72" s="7">
        <v>2</v>
      </c>
      <c r="L72" s="7">
        <v>2</v>
      </c>
    </row>
    <row r="73" spans="1:12" x14ac:dyDescent="0.55000000000000004">
      <c r="A73" s="3">
        <v>1238911150</v>
      </c>
      <c r="B73" s="1" t="s">
        <v>14</v>
      </c>
      <c r="C73" s="6">
        <v>25885</v>
      </c>
      <c r="D73" s="6">
        <v>38284</v>
      </c>
      <c r="E73" s="6"/>
      <c r="F73" s="1" t="s">
        <v>44</v>
      </c>
      <c r="G73" s="2">
        <v>30108</v>
      </c>
      <c r="H73" s="7">
        <v>3</v>
      </c>
      <c r="I73" s="7">
        <v>2</v>
      </c>
      <c r="J73" s="7">
        <v>2</v>
      </c>
      <c r="K73" s="7">
        <v>1</v>
      </c>
      <c r="L73" s="7">
        <v>1</v>
      </c>
    </row>
    <row r="74" spans="1:12" x14ac:dyDescent="0.55000000000000004">
      <c r="A74" s="3">
        <v>1238911152</v>
      </c>
      <c r="B74" s="1" t="s">
        <v>14</v>
      </c>
      <c r="C74" s="6">
        <v>25717</v>
      </c>
      <c r="D74" s="6">
        <v>39668</v>
      </c>
      <c r="E74" s="6"/>
      <c r="F74" s="1" t="s">
        <v>44</v>
      </c>
      <c r="G74" s="2">
        <v>31174</v>
      </c>
      <c r="H74" s="7">
        <v>3</v>
      </c>
      <c r="I74" s="7">
        <v>1</v>
      </c>
      <c r="J74" s="7">
        <v>1</v>
      </c>
      <c r="K74" s="7">
        <v>2</v>
      </c>
      <c r="L74" s="7">
        <v>1</v>
      </c>
    </row>
    <row r="75" spans="1:12" x14ac:dyDescent="0.55000000000000004">
      <c r="A75" s="3">
        <v>1238911154</v>
      </c>
      <c r="B75" s="1" t="s">
        <v>14</v>
      </c>
      <c r="C75" s="6">
        <v>25772</v>
      </c>
      <c r="D75" s="6">
        <v>38324</v>
      </c>
      <c r="E75" s="6"/>
      <c r="F75" s="1" t="s">
        <v>64</v>
      </c>
      <c r="G75" s="2">
        <v>225205.17500000002</v>
      </c>
      <c r="H75" s="7">
        <v>2</v>
      </c>
      <c r="I75" s="7">
        <v>2</v>
      </c>
      <c r="J75" s="7">
        <v>2</v>
      </c>
      <c r="K75" s="7">
        <v>2</v>
      </c>
      <c r="L75" s="7">
        <v>3</v>
      </c>
    </row>
    <row r="76" spans="1:12" x14ac:dyDescent="0.55000000000000004">
      <c r="A76" s="3">
        <v>1238911155</v>
      </c>
      <c r="B76" s="1" t="s">
        <v>14</v>
      </c>
      <c r="C76" s="6">
        <v>25800</v>
      </c>
      <c r="D76" s="6">
        <v>36400</v>
      </c>
      <c r="E76" s="6"/>
      <c r="F76" s="1" t="s">
        <v>65</v>
      </c>
      <c r="G76" s="2">
        <v>36400</v>
      </c>
      <c r="H76" s="7">
        <v>2</v>
      </c>
      <c r="I76" s="7">
        <v>3</v>
      </c>
      <c r="J76" s="7">
        <v>2</v>
      </c>
      <c r="K76" s="7">
        <v>3</v>
      </c>
      <c r="L76" s="7">
        <v>2</v>
      </c>
    </row>
    <row r="77" spans="1:12" x14ac:dyDescent="0.55000000000000004">
      <c r="A77" s="3">
        <v>1238911157</v>
      </c>
      <c r="B77" s="1" t="s">
        <v>14</v>
      </c>
      <c r="C77" s="6">
        <v>25778</v>
      </c>
      <c r="D77" s="6">
        <v>39846</v>
      </c>
      <c r="E77" s="6"/>
      <c r="F77" s="1" t="s">
        <v>13</v>
      </c>
      <c r="G77" s="2">
        <v>27872</v>
      </c>
      <c r="H77" s="7">
        <v>3</v>
      </c>
      <c r="I77" s="7">
        <v>1</v>
      </c>
      <c r="J77" s="7">
        <v>2</v>
      </c>
      <c r="K77" s="7">
        <v>3</v>
      </c>
      <c r="L77" s="7">
        <v>1</v>
      </c>
    </row>
    <row r="78" spans="1:12" x14ac:dyDescent="0.55000000000000004">
      <c r="A78" s="3">
        <v>1238911161</v>
      </c>
      <c r="B78" s="1" t="s">
        <v>14</v>
      </c>
      <c r="C78" s="6">
        <v>25598</v>
      </c>
      <c r="D78" s="6">
        <v>38009</v>
      </c>
      <c r="E78" s="6"/>
      <c r="F78" s="1" t="s">
        <v>25</v>
      </c>
      <c r="G78" s="2">
        <v>29996.25</v>
      </c>
      <c r="H78" s="7">
        <v>2</v>
      </c>
      <c r="I78" s="7">
        <v>2</v>
      </c>
      <c r="J78" s="7">
        <v>3</v>
      </c>
      <c r="K78" s="7">
        <v>2</v>
      </c>
      <c r="L78" s="7">
        <v>3</v>
      </c>
    </row>
    <row r="79" spans="1:12" x14ac:dyDescent="0.55000000000000004">
      <c r="A79" s="3">
        <v>1238911162</v>
      </c>
      <c r="B79" s="1" t="s">
        <v>14</v>
      </c>
      <c r="C79" s="6">
        <v>25918</v>
      </c>
      <c r="D79" s="6">
        <v>36535</v>
      </c>
      <c r="E79" s="6"/>
      <c r="F79" s="1" t="s">
        <v>25</v>
      </c>
      <c r="G79" s="2">
        <v>29996.25</v>
      </c>
      <c r="H79" s="7">
        <v>2</v>
      </c>
      <c r="I79" s="7">
        <v>3</v>
      </c>
      <c r="J79" s="7">
        <v>2</v>
      </c>
      <c r="K79" s="7">
        <v>1</v>
      </c>
      <c r="L79" s="7">
        <v>1</v>
      </c>
    </row>
    <row r="80" spans="1:12" x14ac:dyDescent="0.55000000000000004">
      <c r="A80" s="3">
        <v>1238911167</v>
      </c>
      <c r="B80" s="1" t="s">
        <v>14</v>
      </c>
      <c r="C80" s="6">
        <v>26155</v>
      </c>
      <c r="D80" s="6">
        <v>36294</v>
      </c>
      <c r="E80" s="6"/>
      <c r="F80" s="1" t="s">
        <v>13</v>
      </c>
      <c r="G80" s="2">
        <v>27300</v>
      </c>
      <c r="H80" s="7">
        <v>1</v>
      </c>
      <c r="I80" s="7">
        <v>2</v>
      </c>
      <c r="J80" s="7">
        <v>3</v>
      </c>
      <c r="K80" s="7">
        <v>1</v>
      </c>
      <c r="L80" s="7">
        <v>1</v>
      </c>
    </row>
    <row r="81" spans="1:12" x14ac:dyDescent="0.55000000000000004">
      <c r="A81" s="3">
        <v>1238911169</v>
      </c>
      <c r="B81" s="1" t="s">
        <v>14</v>
      </c>
      <c r="C81" s="6">
        <v>26376</v>
      </c>
      <c r="D81" s="6">
        <v>36353</v>
      </c>
      <c r="E81" s="6"/>
      <c r="F81" s="1" t="s">
        <v>25</v>
      </c>
      <c r="G81" s="2">
        <v>27300</v>
      </c>
      <c r="H81" s="7">
        <v>1</v>
      </c>
      <c r="I81" s="7">
        <v>2</v>
      </c>
      <c r="J81" s="7">
        <v>3</v>
      </c>
      <c r="K81" s="7">
        <v>2</v>
      </c>
      <c r="L81" s="7">
        <v>3</v>
      </c>
    </row>
    <row r="82" spans="1:12" x14ac:dyDescent="0.55000000000000004">
      <c r="A82" s="3">
        <v>1238911175</v>
      </c>
      <c r="B82" s="1" t="s">
        <v>14</v>
      </c>
      <c r="C82" s="6">
        <v>26462</v>
      </c>
      <c r="D82" s="6">
        <v>39906</v>
      </c>
      <c r="E82" s="6"/>
      <c r="F82" s="1" t="s">
        <v>13</v>
      </c>
      <c r="G82" s="2">
        <v>27820</v>
      </c>
      <c r="H82" s="7">
        <v>1</v>
      </c>
      <c r="I82" s="7">
        <v>1</v>
      </c>
      <c r="J82" s="7">
        <v>2</v>
      </c>
      <c r="K82" s="7">
        <v>3</v>
      </c>
      <c r="L82" s="7">
        <v>3</v>
      </c>
    </row>
    <row r="83" spans="1:12" x14ac:dyDescent="0.55000000000000004">
      <c r="A83" s="3">
        <v>1238911176</v>
      </c>
      <c r="B83" s="1" t="s">
        <v>14</v>
      </c>
      <c r="C83" s="6">
        <v>26473</v>
      </c>
      <c r="D83" s="6">
        <v>37779</v>
      </c>
      <c r="E83" s="6"/>
      <c r="F83" s="1" t="s">
        <v>13</v>
      </c>
      <c r="G83" s="2">
        <v>27820</v>
      </c>
      <c r="H83" s="7">
        <v>3</v>
      </c>
      <c r="I83" s="7">
        <v>2</v>
      </c>
      <c r="J83" s="7">
        <v>1</v>
      </c>
      <c r="K83" s="7">
        <v>2</v>
      </c>
      <c r="L83" s="7">
        <v>1</v>
      </c>
    </row>
    <row r="84" spans="1:12" x14ac:dyDescent="0.55000000000000004">
      <c r="A84" s="3">
        <v>1238911178</v>
      </c>
      <c r="B84" s="1" t="s">
        <v>14</v>
      </c>
      <c r="C84" s="6">
        <v>32717</v>
      </c>
      <c r="D84" s="6">
        <v>45334</v>
      </c>
      <c r="E84" s="6">
        <v>45889</v>
      </c>
      <c r="F84" s="1" t="s">
        <v>74</v>
      </c>
      <c r="G84" s="2">
        <v>49997.5</v>
      </c>
      <c r="H84" s="7">
        <v>2</v>
      </c>
      <c r="I84" s="7">
        <v>3</v>
      </c>
      <c r="J84" s="7">
        <v>3</v>
      </c>
      <c r="K84" s="7">
        <v>1</v>
      </c>
      <c r="L84" s="7">
        <v>1</v>
      </c>
    </row>
    <row r="85" spans="1:12" x14ac:dyDescent="0.55000000000000004">
      <c r="A85" s="3">
        <v>1238911187</v>
      </c>
      <c r="B85" s="1" t="s">
        <v>14</v>
      </c>
      <c r="C85" s="6">
        <v>26749</v>
      </c>
      <c r="D85" s="6">
        <v>39815</v>
      </c>
      <c r="E85" s="6"/>
      <c r="F85" s="1" t="s">
        <v>13</v>
      </c>
      <c r="G85" s="2">
        <v>28106</v>
      </c>
      <c r="H85" s="7">
        <v>2</v>
      </c>
      <c r="I85" s="7">
        <v>2</v>
      </c>
      <c r="J85" s="7">
        <v>3</v>
      </c>
      <c r="K85" s="7">
        <v>2</v>
      </c>
      <c r="L85" s="7">
        <v>1</v>
      </c>
    </row>
    <row r="86" spans="1:12" x14ac:dyDescent="0.55000000000000004">
      <c r="A86" s="3">
        <v>1238911188</v>
      </c>
      <c r="B86" s="1" t="s">
        <v>14</v>
      </c>
      <c r="C86" s="6">
        <v>26898</v>
      </c>
      <c r="D86" s="6">
        <v>39894</v>
      </c>
      <c r="E86" s="6"/>
      <c r="F86" s="1" t="s">
        <v>13</v>
      </c>
      <c r="G86" s="2">
        <v>29224</v>
      </c>
      <c r="H86" s="7">
        <v>3</v>
      </c>
      <c r="I86" s="7">
        <v>2</v>
      </c>
      <c r="J86" s="7">
        <v>1</v>
      </c>
      <c r="K86" s="7">
        <v>1</v>
      </c>
      <c r="L86" s="7">
        <v>1</v>
      </c>
    </row>
    <row r="87" spans="1:12" x14ac:dyDescent="0.55000000000000004">
      <c r="A87" s="3">
        <v>1238911189</v>
      </c>
      <c r="B87" s="1" t="s">
        <v>14</v>
      </c>
      <c r="C87" s="6">
        <v>26901</v>
      </c>
      <c r="D87" s="6">
        <v>40401</v>
      </c>
      <c r="E87" s="6"/>
      <c r="F87" s="1" t="s">
        <v>13</v>
      </c>
      <c r="G87" s="2">
        <v>27300</v>
      </c>
      <c r="H87" s="7">
        <v>1</v>
      </c>
      <c r="I87" s="7">
        <v>1</v>
      </c>
      <c r="J87" s="7">
        <v>3</v>
      </c>
      <c r="K87" s="7">
        <v>3</v>
      </c>
      <c r="L87" s="7">
        <v>2</v>
      </c>
    </row>
    <row r="88" spans="1:12" x14ac:dyDescent="0.55000000000000004">
      <c r="A88" s="3">
        <v>1238911190</v>
      </c>
      <c r="B88" s="1" t="s">
        <v>14</v>
      </c>
      <c r="C88" s="6">
        <v>26907</v>
      </c>
      <c r="D88" s="6">
        <v>43462</v>
      </c>
      <c r="E88" s="6">
        <v>43901</v>
      </c>
      <c r="F88" s="1" t="s">
        <v>80</v>
      </c>
      <c r="G88" s="2">
        <v>41465</v>
      </c>
      <c r="H88" s="7">
        <v>1</v>
      </c>
      <c r="I88" s="7">
        <v>1</v>
      </c>
      <c r="J88" s="7">
        <v>3</v>
      </c>
      <c r="K88" s="7">
        <v>3</v>
      </c>
      <c r="L88" s="7">
        <v>3</v>
      </c>
    </row>
    <row r="89" spans="1:12" x14ac:dyDescent="0.55000000000000004">
      <c r="A89" s="3">
        <v>1238911191</v>
      </c>
      <c r="B89" s="1" t="s">
        <v>14</v>
      </c>
      <c r="C89" s="6">
        <v>27014</v>
      </c>
      <c r="D89" s="6">
        <v>37547</v>
      </c>
      <c r="E89" s="6"/>
      <c r="F89" s="1" t="s">
        <v>44</v>
      </c>
      <c r="G89" s="2">
        <v>28600</v>
      </c>
      <c r="H89" s="7">
        <v>2</v>
      </c>
      <c r="I89" s="7">
        <v>2</v>
      </c>
      <c r="J89" s="7">
        <v>1</v>
      </c>
      <c r="K89" s="7">
        <v>2</v>
      </c>
      <c r="L89" s="7">
        <v>3</v>
      </c>
    </row>
    <row r="90" spans="1:12" x14ac:dyDescent="0.55000000000000004">
      <c r="A90" s="3">
        <v>1238911193</v>
      </c>
      <c r="B90" s="1" t="s">
        <v>14</v>
      </c>
      <c r="C90" s="6">
        <v>27055</v>
      </c>
      <c r="D90" s="6">
        <v>36933</v>
      </c>
      <c r="E90" s="6"/>
      <c r="F90" s="1" t="s">
        <v>25</v>
      </c>
      <c r="G90" s="2">
        <v>27586</v>
      </c>
      <c r="H90" s="7">
        <v>1</v>
      </c>
      <c r="I90" s="7">
        <v>3</v>
      </c>
      <c r="J90" s="7">
        <v>2</v>
      </c>
      <c r="K90" s="7">
        <v>3</v>
      </c>
      <c r="L90" s="7">
        <v>3</v>
      </c>
    </row>
    <row r="91" spans="1:12" x14ac:dyDescent="0.55000000000000004">
      <c r="A91" s="3">
        <v>1238911198</v>
      </c>
      <c r="B91" s="1" t="s">
        <v>14</v>
      </c>
      <c r="C91" s="6">
        <v>27384</v>
      </c>
      <c r="D91" s="6">
        <v>38149</v>
      </c>
      <c r="E91" s="6"/>
      <c r="F91" s="1" t="s">
        <v>32</v>
      </c>
      <c r="G91" s="2">
        <v>34814</v>
      </c>
      <c r="H91" s="7">
        <v>1</v>
      </c>
      <c r="I91" s="7">
        <v>3</v>
      </c>
      <c r="J91" s="7">
        <v>1</v>
      </c>
      <c r="K91" s="7">
        <v>1</v>
      </c>
      <c r="L91" s="7">
        <v>1</v>
      </c>
    </row>
    <row r="92" spans="1:12" x14ac:dyDescent="0.55000000000000004">
      <c r="A92" s="3">
        <v>1238911199</v>
      </c>
      <c r="B92" s="1" t="s">
        <v>14</v>
      </c>
      <c r="C92" s="6">
        <v>27384</v>
      </c>
      <c r="D92" s="6">
        <v>37417</v>
      </c>
      <c r="E92" s="6"/>
      <c r="F92" s="1" t="s">
        <v>32</v>
      </c>
      <c r="G92" s="2">
        <v>34814</v>
      </c>
      <c r="H92" s="7">
        <v>2</v>
      </c>
      <c r="I92" s="7">
        <v>2</v>
      </c>
      <c r="J92" s="7">
        <v>1</v>
      </c>
      <c r="K92" s="7">
        <v>1</v>
      </c>
      <c r="L92" s="7">
        <v>2</v>
      </c>
    </row>
    <row r="93" spans="1:12" x14ac:dyDescent="0.55000000000000004">
      <c r="A93" s="3">
        <v>1238911201</v>
      </c>
      <c r="B93" s="1" t="s">
        <v>14</v>
      </c>
      <c r="C93" s="6">
        <v>27388</v>
      </c>
      <c r="D93" s="6">
        <v>44910</v>
      </c>
      <c r="E93" s="6">
        <v>45786</v>
      </c>
      <c r="F93" s="1" t="s">
        <v>44</v>
      </c>
      <c r="G93" s="2">
        <v>31200</v>
      </c>
      <c r="H93" s="7">
        <v>3</v>
      </c>
      <c r="I93" s="7">
        <v>1</v>
      </c>
      <c r="J93" s="7">
        <v>2</v>
      </c>
      <c r="K93" s="7">
        <v>1</v>
      </c>
      <c r="L93" s="7">
        <v>3</v>
      </c>
    </row>
    <row r="94" spans="1:12" x14ac:dyDescent="0.55000000000000004">
      <c r="A94" s="3">
        <v>1238911206</v>
      </c>
      <c r="B94" s="1" t="s">
        <v>14</v>
      </c>
      <c r="C94" s="6">
        <v>27575</v>
      </c>
      <c r="D94" s="6">
        <v>44558</v>
      </c>
      <c r="E94" s="6">
        <v>45497</v>
      </c>
      <c r="F94" s="1" t="s">
        <v>74</v>
      </c>
      <c r="G94" s="2">
        <v>50000</v>
      </c>
      <c r="H94" s="7">
        <v>1</v>
      </c>
      <c r="I94" s="7">
        <v>2</v>
      </c>
      <c r="J94" s="7">
        <v>1</v>
      </c>
      <c r="K94" s="7">
        <v>2</v>
      </c>
      <c r="L94" s="7">
        <v>2</v>
      </c>
    </row>
    <row r="95" spans="1:12" x14ac:dyDescent="0.55000000000000004">
      <c r="A95" s="3">
        <v>1238911209</v>
      </c>
      <c r="B95" s="1" t="s">
        <v>14</v>
      </c>
      <c r="C95" s="6">
        <v>27623</v>
      </c>
      <c r="D95" s="6">
        <v>35993</v>
      </c>
      <c r="E95" s="6"/>
      <c r="F95" s="1" t="s">
        <v>13</v>
      </c>
      <c r="G95" s="2">
        <v>29094</v>
      </c>
      <c r="H95" s="7">
        <v>3</v>
      </c>
      <c r="I95" s="7">
        <v>2</v>
      </c>
      <c r="J95" s="7">
        <v>1</v>
      </c>
      <c r="K95" s="7">
        <v>2</v>
      </c>
      <c r="L95" s="7">
        <v>1</v>
      </c>
    </row>
    <row r="96" spans="1:12" x14ac:dyDescent="0.55000000000000004">
      <c r="A96" s="3">
        <v>1238911212</v>
      </c>
      <c r="B96" s="1" t="s">
        <v>14</v>
      </c>
      <c r="C96" s="6">
        <v>35003</v>
      </c>
      <c r="D96" s="6">
        <v>43699</v>
      </c>
      <c r="E96" s="6">
        <v>44911</v>
      </c>
      <c r="F96" s="1" t="s">
        <v>44</v>
      </c>
      <c r="G96" s="2">
        <v>32266</v>
      </c>
      <c r="H96" s="7">
        <v>3</v>
      </c>
      <c r="I96" s="7">
        <v>3</v>
      </c>
      <c r="J96" s="7">
        <v>2</v>
      </c>
      <c r="K96" s="7">
        <v>2</v>
      </c>
      <c r="L96" s="7">
        <v>2</v>
      </c>
    </row>
    <row r="97" spans="1:12" x14ac:dyDescent="0.55000000000000004">
      <c r="A97" s="3">
        <v>1238911213</v>
      </c>
      <c r="B97" s="1" t="s">
        <v>14</v>
      </c>
      <c r="C97" s="6">
        <v>27728</v>
      </c>
      <c r="D97" s="6">
        <v>39974</v>
      </c>
      <c r="E97" s="6"/>
      <c r="F97" s="1" t="s">
        <v>88</v>
      </c>
      <c r="G97" s="2">
        <v>44642</v>
      </c>
      <c r="H97" s="7">
        <v>1</v>
      </c>
      <c r="I97" s="7">
        <v>2</v>
      </c>
      <c r="J97" s="7">
        <v>3</v>
      </c>
      <c r="K97" s="7">
        <v>3</v>
      </c>
      <c r="L97" s="7">
        <v>2</v>
      </c>
    </row>
    <row r="98" spans="1:12" x14ac:dyDescent="0.55000000000000004">
      <c r="A98" s="3">
        <v>1238911214</v>
      </c>
      <c r="B98" s="1" t="s">
        <v>14</v>
      </c>
      <c r="C98" s="6">
        <v>26278</v>
      </c>
      <c r="D98" s="6">
        <v>44321</v>
      </c>
      <c r="E98" s="6">
        <v>44847</v>
      </c>
      <c r="F98" s="1" t="s">
        <v>25</v>
      </c>
      <c r="G98" s="2">
        <v>27768</v>
      </c>
      <c r="H98" s="7">
        <v>3</v>
      </c>
      <c r="I98" s="7">
        <v>3</v>
      </c>
      <c r="J98" s="7">
        <v>2</v>
      </c>
      <c r="K98" s="7">
        <v>3</v>
      </c>
      <c r="L98" s="7">
        <v>1</v>
      </c>
    </row>
    <row r="99" spans="1:12" x14ac:dyDescent="0.55000000000000004">
      <c r="A99" s="3">
        <v>1238911215</v>
      </c>
      <c r="B99" s="1" t="s">
        <v>14</v>
      </c>
      <c r="C99" s="6">
        <v>27750</v>
      </c>
      <c r="D99" s="6">
        <v>35755</v>
      </c>
      <c r="E99" s="6"/>
      <c r="F99" s="1" t="s">
        <v>31</v>
      </c>
      <c r="G99" s="2">
        <v>31200</v>
      </c>
      <c r="H99" s="7">
        <v>2</v>
      </c>
      <c r="I99" s="7">
        <v>2</v>
      </c>
      <c r="J99" s="7">
        <v>3</v>
      </c>
      <c r="K99" s="7">
        <v>1</v>
      </c>
      <c r="L99" s="7">
        <v>1</v>
      </c>
    </row>
    <row r="100" spans="1:12" x14ac:dyDescent="0.55000000000000004">
      <c r="A100" s="3">
        <v>1238911216</v>
      </c>
      <c r="B100" s="1" t="s">
        <v>14</v>
      </c>
      <c r="C100" s="6">
        <v>27802</v>
      </c>
      <c r="D100" s="6">
        <v>38149</v>
      </c>
      <c r="E100" s="6"/>
      <c r="F100" s="1" t="s">
        <v>32</v>
      </c>
      <c r="G100" s="2">
        <v>30316</v>
      </c>
      <c r="H100" s="7">
        <v>1</v>
      </c>
      <c r="I100" s="7">
        <v>3</v>
      </c>
      <c r="J100" s="7">
        <v>2</v>
      </c>
      <c r="K100" s="7">
        <v>1</v>
      </c>
      <c r="L100" s="7">
        <v>3</v>
      </c>
    </row>
    <row r="101" spans="1:12" x14ac:dyDescent="0.55000000000000004">
      <c r="A101" s="3">
        <v>1238911217</v>
      </c>
      <c r="B101" s="1" t="s">
        <v>14</v>
      </c>
      <c r="C101" s="6">
        <v>27836</v>
      </c>
      <c r="D101" s="6">
        <v>37417</v>
      </c>
      <c r="E101" s="6"/>
      <c r="F101" s="1" t="s">
        <v>13</v>
      </c>
      <c r="G101" s="2">
        <v>27300</v>
      </c>
      <c r="H101" s="7">
        <v>1</v>
      </c>
      <c r="I101" s="7">
        <v>1</v>
      </c>
      <c r="J101" s="7">
        <v>3</v>
      </c>
      <c r="K101" s="7">
        <v>3</v>
      </c>
      <c r="L101" s="7">
        <v>2</v>
      </c>
    </row>
    <row r="102" spans="1:12" x14ac:dyDescent="0.55000000000000004">
      <c r="A102" s="3">
        <v>1238911218</v>
      </c>
      <c r="B102" s="1" t="s">
        <v>14</v>
      </c>
      <c r="C102" s="6">
        <v>27869</v>
      </c>
      <c r="D102" s="6">
        <v>37065</v>
      </c>
      <c r="E102" s="6"/>
      <c r="F102" s="1" t="s">
        <v>89</v>
      </c>
      <c r="G102" s="2">
        <v>143687.5</v>
      </c>
      <c r="H102" s="7">
        <v>2</v>
      </c>
      <c r="I102" s="7">
        <v>2</v>
      </c>
      <c r="J102" s="7">
        <v>2</v>
      </c>
      <c r="K102" s="7">
        <v>3</v>
      </c>
      <c r="L102" s="7">
        <v>2</v>
      </c>
    </row>
    <row r="103" spans="1:12" x14ac:dyDescent="0.55000000000000004">
      <c r="A103" s="3">
        <v>1238911219</v>
      </c>
      <c r="B103" s="1" t="s">
        <v>14</v>
      </c>
      <c r="C103" s="6">
        <v>27901</v>
      </c>
      <c r="D103" s="6">
        <v>36509</v>
      </c>
      <c r="E103" s="6"/>
      <c r="F103" s="1" t="s">
        <v>13</v>
      </c>
      <c r="G103" s="2">
        <v>30966</v>
      </c>
      <c r="H103" s="7">
        <v>1</v>
      </c>
      <c r="I103" s="7">
        <v>3</v>
      </c>
      <c r="J103" s="7">
        <v>3</v>
      </c>
      <c r="K103" s="7">
        <v>2</v>
      </c>
      <c r="L103" s="7">
        <v>2</v>
      </c>
    </row>
    <row r="104" spans="1:12" x14ac:dyDescent="0.55000000000000004">
      <c r="A104" s="3">
        <v>1238911220</v>
      </c>
      <c r="B104" s="1" t="s">
        <v>14</v>
      </c>
      <c r="C104" s="6">
        <v>27921</v>
      </c>
      <c r="D104" s="6">
        <v>39815</v>
      </c>
      <c r="E104" s="6"/>
      <c r="F104" s="1" t="s">
        <v>90</v>
      </c>
      <c r="G104" s="2">
        <v>71399.899999999994</v>
      </c>
      <c r="H104" s="7">
        <v>2</v>
      </c>
      <c r="I104" s="7">
        <v>3</v>
      </c>
      <c r="J104" s="7">
        <v>1</v>
      </c>
      <c r="K104" s="7">
        <v>2</v>
      </c>
      <c r="L104" s="7">
        <v>2</v>
      </c>
    </row>
    <row r="105" spans="1:12" x14ac:dyDescent="0.55000000000000004">
      <c r="A105" s="3">
        <v>1238911223</v>
      </c>
      <c r="B105" s="1" t="s">
        <v>14</v>
      </c>
      <c r="C105" s="6">
        <v>26576</v>
      </c>
      <c r="D105" s="6">
        <v>44193</v>
      </c>
      <c r="E105" s="6">
        <v>44568</v>
      </c>
      <c r="F105" s="1" t="s">
        <v>92</v>
      </c>
      <c r="G105" s="2">
        <v>31407.5</v>
      </c>
      <c r="H105" s="7">
        <v>2</v>
      </c>
      <c r="I105" s="7">
        <v>2</v>
      </c>
      <c r="J105" s="7">
        <v>2</v>
      </c>
      <c r="K105" s="7">
        <v>3</v>
      </c>
      <c r="L105" s="7">
        <v>3</v>
      </c>
    </row>
    <row r="106" spans="1:12" x14ac:dyDescent="0.55000000000000004">
      <c r="A106" s="3">
        <v>1238911224</v>
      </c>
      <c r="B106" s="1" t="s">
        <v>14</v>
      </c>
      <c r="C106" s="6">
        <v>28051</v>
      </c>
      <c r="D106" s="6">
        <v>38664</v>
      </c>
      <c r="E106" s="6"/>
      <c r="F106" s="1" t="s">
        <v>44</v>
      </c>
      <c r="G106" s="2">
        <v>28838.75</v>
      </c>
      <c r="H106" s="7">
        <v>3</v>
      </c>
      <c r="I106" s="7">
        <v>2</v>
      </c>
      <c r="J106" s="7">
        <v>1</v>
      </c>
      <c r="K106" s="7">
        <v>3</v>
      </c>
      <c r="L106" s="7">
        <v>3</v>
      </c>
    </row>
    <row r="107" spans="1:12" x14ac:dyDescent="0.55000000000000004">
      <c r="A107" s="3">
        <v>1238911225</v>
      </c>
      <c r="B107" s="1" t="s">
        <v>14</v>
      </c>
      <c r="C107" s="6">
        <v>28051</v>
      </c>
      <c r="D107" s="6">
        <v>44487</v>
      </c>
      <c r="E107" s="6">
        <v>44981</v>
      </c>
      <c r="F107" s="1" t="s">
        <v>44</v>
      </c>
      <c r="G107" s="2">
        <v>28838.75</v>
      </c>
      <c r="H107" s="7">
        <v>1</v>
      </c>
      <c r="I107" s="7">
        <v>1</v>
      </c>
      <c r="J107" s="7">
        <v>2</v>
      </c>
      <c r="K107" s="7">
        <v>2</v>
      </c>
      <c r="L107" s="7">
        <v>2</v>
      </c>
    </row>
    <row r="108" spans="1:12" x14ac:dyDescent="0.55000000000000004">
      <c r="A108" s="3">
        <v>1238911227</v>
      </c>
      <c r="B108" s="1" t="s">
        <v>14</v>
      </c>
      <c r="C108" s="6">
        <v>28067</v>
      </c>
      <c r="D108" s="6">
        <v>35993</v>
      </c>
      <c r="E108" s="6"/>
      <c r="F108" s="1" t="s">
        <v>25</v>
      </c>
      <c r="G108" s="2">
        <v>27768</v>
      </c>
      <c r="H108" s="7">
        <v>2</v>
      </c>
      <c r="I108" s="7">
        <v>3</v>
      </c>
      <c r="J108" s="7">
        <v>3</v>
      </c>
      <c r="K108" s="7">
        <v>1</v>
      </c>
      <c r="L108" s="7">
        <v>3</v>
      </c>
    </row>
    <row r="109" spans="1:12" x14ac:dyDescent="0.55000000000000004">
      <c r="A109" s="3">
        <v>1238911229</v>
      </c>
      <c r="B109" s="1" t="s">
        <v>14</v>
      </c>
      <c r="C109" s="6">
        <v>28159</v>
      </c>
      <c r="D109" s="6">
        <v>37854</v>
      </c>
      <c r="E109" s="6"/>
      <c r="F109" s="1" t="s">
        <v>32</v>
      </c>
      <c r="G109" s="2">
        <v>26137.5</v>
      </c>
      <c r="H109" s="7">
        <v>2</v>
      </c>
      <c r="I109" s="7">
        <v>2</v>
      </c>
      <c r="J109" s="7">
        <v>1</v>
      </c>
      <c r="K109" s="7">
        <v>2</v>
      </c>
      <c r="L109" s="7">
        <v>2</v>
      </c>
    </row>
    <row r="110" spans="1:12" x14ac:dyDescent="0.55000000000000004">
      <c r="A110" s="3">
        <v>1238911230</v>
      </c>
      <c r="B110" s="1" t="s">
        <v>14</v>
      </c>
      <c r="C110" s="6">
        <v>28167</v>
      </c>
      <c r="D110" s="6">
        <v>39974</v>
      </c>
      <c r="E110" s="6"/>
      <c r="F110" s="1" t="s">
        <v>74</v>
      </c>
      <c r="G110" s="2">
        <v>51506</v>
      </c>
      <c r="H110" s="7">
        <v>1</v>
      </c>
      <c r="I110" s="7">
        <v>3</v>
      </c>
      <c r="J110" s="7">
        <v>2</v>
      </c>
      <c r="K110" s="7">
        <v>1</v>
      </c>
      <c r="L110" s="7">
        <v>3</v>
      </c>
    </row>
    <row r="111" spans="1:12" x14ac:dyDescent="0.55000000000000004">
      <c r="A111" s="3">
        <v>1238911231</v>
      </c>
      <c r="B111" s="1" t="s">
        <v>14</v>
      </c>
      <c r="C111" s="6">
        <v>28168</v>
      </c>
      <c r="D111" s="6">
        <v>35554</v>
      </c>
      <c r="E111" s="6"/>
      <c r="F111" s="1" t="s">
        <v>80</v>
      </c>
      <c r="G111" s="2">
        <v>39371.25</v>
      </c>
      <c r="H111" s="7">
        <v>3</v>
      </c>
      <c r="I111" s="7">
        <v>2</v>
      </c>
      <c r="J111" s="7">
        <v>1</v>
      </c>
      <c r="K111" s="7">
        <v>3</v>
      </c>
      <c r="L111" s="7">
        <v>1</v>
      </c>
    </row>
    <row r="112" spans="1:12" x14ac:dyDescent="0.55000000000000004">
      <c r="A112" s="3">
        <v>1238911233</v>
      </c>
      <c r="B112" s="1" t="s">
        <v>14</v>
      </c>
      <c r="C112" s="6">
        <v>28177</v>
      </c>
      <c r="D112" s="6">
        <v>38149</v>
      </c>
      <c r="E112" s="6"/>
      <c r="F112" s="1" t="s">
        <v>95</v>
      </c>
      <c r="G112" s="2">
        <v>167187.47500000001</v>
      </c>
      <c r="H112" s="7">
        <v>2</v>
      </c>
      <c r="I112" s="7">
        <v>2</v>
      </c>
      <c r="J112" s="7">
        <v>2</v>
      </c>
      <c r="K112" s="7">
        <v>2</v>
      </c>
      <c r="L112" s="7">
        <v>3</v>
      </c>
    </row>
    <row r="113" spans="1:12" x14ac:dyDescent="0.55000000000000004">
      <c r="A113" s="3">
        <v>1238911234</v>
      </c>
      <c r="B113" s="1" t="s">
        <v>14</v>
      </c>
      <c r="C113" s="6">
        <v>28195</v>
      </c>
      <c r="D113" s="6">
        <v>43991</v>
      </c>
      <c r="E113" s="6">
        <v>44399</v>
      </c>
      <c r="F113" s="1" t="s">
        <v>96</v>
      </c>
      <c r="G113" s="2">
        <v>33566.25</v>
      </c>
      <c r="H113" s="7">
        <v>1</v>
      </c>
      <c r="I113" s="7">
        <v>2</v>
      </c>
      <c r="J113" s="7">
        <v>3</v>
      </c>
      <c r="K113" s="7">
        <v>1</v>
      </c>
      <c r="L113" s="7">
        <v>2</v>
      </c>
    </row>
    <row r="114" spans="1:12" x14ac:dyDescent="0.55000000000000004">
      <c r="A114" s="3">
        <v>1238911235</v>
      </c>
      <c r="B114" s="1" t="s">
        <v>14</v>
      </c>
      <c r="C114" s="6">
        <v>28231</v>
      </c>
      <c r="D114" s="6">
        <v>45100</v>
      </c>
      <c r="E114" s="6">
        <v>45735</v>
      </c>
      <c r="F114" s="1" t="s">
        <v>13</v>
      </c>
      <c r="G114" s="2">
        <v>28600</v>
      </c>
      <c r="H114" s="7">
        <v>1</v>
      </c>
      <c r="I114" s="7">
        <v>3</v>
      </c>
      <c r="J114" s="7">
        <v>2</v>
      </c>
      <c r="K114" s="7">
        <v>3</v>
      </c>
      <c r="L114" s="7">
        <v>3</v>
      </c>
    </row>
    <row r="115" spans="1:12" x14ac:dyDescent="0.55000000000000004">
      <c r="A115" s="3">
        <v>1238911241</v>
      </c>
      <c r="B115" s="1" t="s">
        <v>14</v>
      </c>
      <c r="C115" s="6">
        <v>28443</v>
      </c>
      <c r="D115" s="6">
        <v>37547</v>
      </c>
      <c r="E115" s="6"/>
      <c r="F115" s="1" t="s">
        <v>13</v>
      </c>
      <c r="G115" s="2">
        <v>28652</v>
      </c>
      <c r="H115" s="7">
        <v>1</v>
      </c>
      <c r="I115" s="7">
        <v>3</v>
      </c>
      <c r="J115" s="7">
        <v>2</v>
      </c>
      <c r="K115" s="7">
        <v>3</v>
      </c>
      <c r="L115" s="7">
        <v>1</v>
      </c>
    </row>
    <row r="116" spans="1:12" x14ac:dyDescent="0.55000000000000004">
      <c r="A116" s="3">
        <v>1238911242</v>
      </c>
      <c r="B116" s="1" t="s">
        <v>14</v>
      </c>
      <c r="C116" s="6">
        <v>28443</v>
      </c>
      <c r="D116" s="6">
        <v>35993</v>
      </c>
      <c r="E116" s="6"/>
      <c r="F116" s="1" t="s">
        <v>13</v>
      </c>
      <c r="G116" s="2">
        <v>28652</v>
      </c>
      <c r="H116" s="7">
        <v>2</v>
      </c>
      <c r="I116" s="7">
        <v>1</v>
      </c>
      <c r="J116" s="7">
        <v>1</v>
      </c>
      <c r="K116" s="7">
        <v>3</v>
      </c>
      <c r="L116" s="7">
        <v>2</v>
      </c>
    </row>
    <row r="117" spans="1:12" x14ac:dyDescent="0.55000000000000004">
      <c r="A117" s="3">
        <v>1238911248</v>
      </c>
      <c r="B117" s="1" t="s">
        <v>14</v>
      </c>
      <c r="C117" s="6">
        <v>28603</v>
      </c>
      <c r="D117" s="6">
        <v>38149</v>
      </c>
      <c r="E117" s="6"/>
      <c r="F117" s="1" t="s">
        <v>103</v>
      </c>
      <c r="G117" s="2">
        <v>39390</v>
      </c>
      <c r="H117" s="7">
        <v>2</v>
      </c>
      <c r="I117" s="7">
        <v>3</v>
      </c>
      <c r="J117" s="7">
        <v>2</v>
      </c>
      <c r="K117" s="7">
        <v>3</v>
      </c>
      <c r="L117" s="7">
        <v>1</v>
      </c>
    </row>
    <row r="118" spans="1:12" x14ac:dyDescent="0.55000000000000004">
      <c r="A118" s="3">
        <v>1238911250</v>
      </c>
      <c r="B118" s="1" t="s">
        <v>14</v>
      </c>
      <c r="C118" s="6">
        <v>28639</v>
      </c>
      <c r="D118" s="6">
        <v>40717</v>
      </c>
      <c r="E118" s="6">
        <v>42546</v>
      </c>
      <c r="F118" s="1" t="s">
        <v>104</v>
      </c>
      <c r="G118" s="2">
        <v>90410.774999999994</v>
      </c>
      <c r="H118" s="7">
        <v>3</v>
      </c>
      <c r="I118" s="7">
        <v>1</v>
      </c>
      <c r="J118" s="7">
        <v>2</v>
      </c>
      <c r="K118" s="7">
        <v>3</v>
      </c>
      <c r="L118" s="7">
        <v>2</v>
      </c>
    </row>
    <row r="119" spans="1:12" x14ac:dyDescent="0.55000000000000004">
      <c r="A119" s="3">
        <v>1238911252</v>
      </c>
      <c r="B119" s="1" t="s">
        <v>14</v>
      </c>
      <c r="C119" s="6">
        <v>28722</v>
      </c>
      <c r="D119" s="6">
        <v>39815</v>
      </c>
      <c r="E119" s="6"/>
      <c r="F119" s="1" t="s">
        <v>106</v>
      </c>
      <c r="G119" s="2">
        <v>231875</v>
      </c>
      <c r="H119" s="7">
        <v>3</v>
      </c>
      <c r="I119" s="7">
        <v>2</v>
      </c>
      <c r="J119" s="7">
        <v>2</v>
      </c>
      <c r="K119" s="7">
        <v>2</v>
      </c>
      <c r="L119" s="7">
        <v>3</v>
      </c>
    </row>
    <row r="120" spans="1:12" x14ac:dyDescent="0.55000000000000004">
      <c r="A120" s="3">
        <v>1238911253</v>
      </c>
      <c r="B120" s="1" t="s">
        <v>14</v>
      </c>
      <c r="C120" s="6">
        <v>28744</v>
      </c>
      <c r="D120" s="6">
        <v>39894</v>
      </c>
      <c r="E120" s="6"/>
      <c r="F120" s="1" t="s">
        <v>13</v>
      </c>
      <c r="G120" s="2">
        <v>27456.25</v>
      </c>
      <c r="H120" s="7">
        <v>2</v>
      </c>
      <c r="I120" s="7">
        <v>3</v>
      </c>
      <c r="J120" s="7">
        <v>1</v>
      </c>
      <c r="K120" s="7">
        <v>1</v>
      </c>
      <c r="L120" s="7">
        <v>1</v>
      </c>
    </row>
    <row r="121" spans="1:12" x14ac:dyDescent="0.55000000000000004">
      <c r="A121" s="3">
        <v>1238911256</v>
      </c>
      <c r="B121" s="1" t="s">
        <v>14</v>
      </c>
      <c r="C121" s="6">
        <v>28804</v>
      </c>
      <c r="D121" s="6">
        <v>38664</v>
      </c>
      <c r="E121" s="6"/>
      <c r="F121" s="1" t="s">
        <v>13</v>
      </c>
      <c r="G121" s="2">
        <v>31200</v>
      </c>
      <c r="H121" s="7">
        <v>3</v>
      </c>
      <c r="I121" s="7">
        <v>3</v>
      </c>
      <c r="J121" s="7">
        <v>2</v>
      </c>
      <c r="K121" s="7">
        <v>3</v>
      </c>
      <c r="L121" s="7">
        <v>3</v>
      </c>
    </row>
    <row r="122" spans="1:12" x14ac:dyDescent="0.55000000000000004">
      <c r="A122" s="3">
        <v>1238911264</v>
      </c>
      <c r="B122" s="1" t="s">
        <v>14</v>
      </c>
      <c r="C122" s="6">
        <v>28970</v>
      </c>
      <c r="D122" s="6">
        <v>41662</v>
      </c>
      <c r="E122" s="6"/>
      <c r="F122" s="1" t="s">
        <v>13</v>
      </c>
      <c r="G122" s="2">
        <v>27300</v>
      </c>
      <c r="H122" s="7">
        <v>1</v>
      </c>
      <c r="I122" s="7">
        <v>3</v>
      </c>
      <c r="J122" s="7">
        <v>3</v>
      </c>
      <c r="K122" s="7">
        <v>1</v>
      </c>
      <c r="L122" s="7">
        <v>1</v>
      </c>
    </row>
    <row r="123" spans="1:12" x14ac:dyDescent="0.55000000000000004">
      <c r="A123" s="3">
        <v>1238911265</v>
      </c>
      <c r="B123" s="1" t="s">
        <v>14</v>
      </c>
      <c r="C123" s="6">
        <v>28970</v>
      </c>
      <c r="D123" s="6">
        <v>41662</v>
      </c>
      <c r="E123" s="6"/>
      <c r="F123" s="1" t="s">
        <v>13</v>
      </c>
      <c r="G123" s="2">
        <v>27300</v>
      </c>
      <c r="H123" s="7">
        <v>2</v>
      </c>
      <c r="I123" s="7">
        <v>2</v>
      </c>
      <c r="J123" s="7">
        <v>3</v>
      </c>
      <c r="K123" s="7">
        <v>2</v>
      </c>
      <c r="L123" s="7">
        <v>1</v>
      </c>
    </row>
    <row r="124" spans="1:12" x14ac:dyDescent="0.55000000000000004">
      <c r="A124" s="3">
        <v>1238911268</v>
      </c>
      <c r="B124" s="1" t="s">
        <v>14</v>
      </c>
      <c r="C124" s="6">
        <v>29018</v>
      </c>
      <c r="D124" s="6">
        <v>42195</v>
      </c>
      <c r="E124" s="6"/>
      <c r="F124" s="1" t="s">
        <v>13</v>
      </c>
      <c r="G124" s="2">
        <v>26000</v>
      </c>
      <c r="H124" s="7">
        <v>1</v>
      </c>
      <c r="I124" s="7">
        <v>3</v>
      </c>
      <c r="J124" s="7">
        <v>1</v>
      </c>
      <c r="K124" s="7">
        <v>3</v>
      </c>
      <c r="L124" s="7">
        <v>2</v>
      </c>
    </row>
    <row r="125" spans="1:12" x14ac:dyDescent="0.55000000000000004">
      <c r="A125" s="3">
        <v>1238911270</v>
      </c>
      <c r="B125" s="1" t="s">
        <v>14</v>
      </c>
      <c r="C125" s="6">
        <v>29089</v>
      </c>
      <c r="D125" s="6">
        <v>45918</v>
      </c>
      <c r="E125" s="6"/>
      <c r="F125" s="1" t="s">
        <v>113</v>
      </c>
      <c r="G125" s="2">
        <v>60000</v>
      </c>
      <c r="H125" s="7">
        <v>3</v>
      </c>
      <c r="I125" s="7">
        <v>1</v>
      </c>
      <c r="J125" s="7">
        <v>2</v>
      </c>
      <c r="K125" s="7">
        <v>1</v>
      </c>
      <c r="L125" s="7">
        <v>3</v>
      </c>
    </row>
    <row r="126" spans="1:12" x14ac:dyDescent="0.55000000000000004">
      <c r="A126" s="3">
        <v>1238911271</v>
      </c>
      <c r="B126" s="1" t="s">
        <v>14</v>
      </c>
      <c r="C126" s="6">
        <v>29122</v>
      </c>
      <c r="D126" s="6">
        <v>42341</v>
      </c>
      <c r="E126" s="6"/>
      <c r="F126" s="1" t="s">
        <v>13</v>
      </c>
      <c r="G126" s="2">
        <v>29380</v>
      </c>
      <c r="H126" s="7">
        <v>2</v>
      </c>
      <c r="I126" s="7">
        <v>2</v>
      </c>
      <c r="J126" s="7">
        <v>1</v>
      </c>
      <c r="K126" s="7">
        <v>2</v>
      </c>
      <c r="L126" s="7">
        <v>2</v>
      </c>
    </row>
    <row r="127" spans="1:12" x14ac:dyDescent="0.55000000000000004">
      <c r="A127" s="3">
        <v>1238911272</v>
      </c>
      <c r="B127" s="1" t="s">
        <v>14</v>
      </c>
      <c r="C127" s="6">
        <v>29144</v>
      </c>
      <c r="D127" s="6">
        <v>43511</v>
      </c>
      <c r="E127" s="6"/>
      <c r="F127" s="1" t="s">
        <v>114</v>
      </c>
      <c r="G127" s="2">
        <v>75036</v>
      </c>
      <c r="H127" s="7">
        <v>1</v>
      </c>
      <c r="I127" s="7">
        <v>3</v>
      </c>
      <c r="J127" s="7">
        <v>1</v>
      </c>
      <c r="K127" s="7">
        <v>1</v>
      </c>
      <c r="L127" s="7">
        <v>1</v>
      </c>
    </row>
    <row r="128" spans="1:12" x14ac:dyDescent="0.55000000000000004">
      <c r="A128" s="3">
        <v>1238911276</v>
      </c>
      <c r="B128" s="1" t="s">
        <v>14</v>
      </c>
      <c r="C128" s="6">
        <v>29234</v>
      </c>
      <c r="D128" s="6">
        <v>45154</v>
      </c>
      <c r="E128" s="6"/>
      <c r="F128" s="1" t="s">
        <v>25</v>
      </c>
      <c r="G128" s="2">
        <v>27768</v>
      </c>
      <c r="H128" s="7">
        <v>1</v>
      </c>
      <c r="I128" s="7">
        <v>2</v>
      </c>
      <c r="J128" s="7">
        <v>1</v>
      </c>
      <c r="K128" s="7">
        <v>2</v>
      </c>
      <c r="L128" s="7">
        <v>1</v>
      </c>
    </row>
    <row r="129" spans="1:12" x14ac:dyDescent="0.55000000000000004">
      <c r="A129" s="3">
        <v>1238911277</v>
      </c>
      <c r="B129" s="1" t="s">
        <v>14</v>
      </c>
      <c r="C129" s="6">
        <v>29285</v>
      </c>
      <c r="D129" s="6">
        <v>44558</v>
      </c>
      <c r="E129" s="6"/>
      <c r="F129" s="1" t="s">
        <v>117</v>
      </c>
      <c r="G129" s="2">
        <v>46150</v>
      </c>
      <c r="H129" s="7">
        <v>1</v>
      </c>
      <c r="I129" s="7">
        <v>2</v>
      </c>
      <c r="J129" s="7">
        <v>2</v>
      </c>
      <c r="K129" s="7">
        <v>1</v>
      </c>
      <c r="L129" s="7">
        <v>1</v>
      </c>
    </row>
    <row r="130" spans="1:12" x14ac:dyDescent="0.55000000000000004">
      <c r="A130" s="3">
        <v>1238911278</v>
      </c>
      <c r="B130" s="1" t="s">
        <v>14</v>
      </c>
      <c r="C130" s="6">
        <v>29358</v>
      </c>
      <c r="D130" s="6">
        <v>43612</v>
      </c>
      <c r="E130" s="6">
        <v>44707</v>
      </c>
      <c r="F130" s="1" t="s">
        <v>68</v>
      </c>
      <c r="G130" s="2">
        <v>63726</v>
      </c>
      <c r="H130" s="7">
        <v>2</v>
      </c>
      <c r="I130" s="7">
        <v>2</v>
      </c>
      <c r="J130" s="7">
        <v>3</v>
      </c>
      <c r="K130" s="7">
        <v>2</v>
      </c>
      <c r="L130" s="7">
        <v>3</v>
      </c>
    </row>
    <row r="131" spans="1:12" x14ac:dyDescent="0.55000000000000004">
      <c r="A131" s="3">
        <v>1238911284</v>
      </c>
      <c r="B131" s="1" t="s">
        <v>14</v>
      </c>
      <c r="C131" s="6">
        <v>29483</v>
      </c>
      <c r="D131" s="6">
        <v>43999</v>
      </c>
      <c r="E131" s="6"/>
      <c r="F131" s="1" t="s">
        <v>121</v>
      </c>
      <c r="G131" s="2">
        <v>148260.77499999999</v>
      </c>
      <c r="H131" s="7">
        <v>3</v>
      </c>
      <c r="I131" s="7">
        <v>2</v>
      </c>
      <c r="J131" s="7">
        <v>2</v>
      </c>
      <c r="K131" s="7">
        <v>2</v>
      </c>
      <c r="L131" s="7">
        <v>2</v>
      </c>
    </row>
    <row r="132" spans="1:12" x14ac:dyDescent="0.55000000000000004">
      <c r="A132" s="3">
        <v>1238911288</v>
      </c>
      <c r="B132" s="1" t="s">
        <v>14</v>
      </c>
      <c r="C132" s="6">
        <v>29532</v>
      </c>
      <c r="D132" s="6">
        <v>41034</v>
      </c>
      <c r="E132" s="6"/>
      <c r="F132" s="1" t="s">
        <v>123</v>
      </c>
      <c r="G132" s="2">
        <v>45526.25</v>
      </c>
      <c r="H132" s="7">
        <v>2</v>
      </c>
      <c r="I132" s="7">
        <v>3</v>
      </c>
      <c r="J132" s="7">
        <v>2</v>
      </c>
      <c r="K132" s="7">
        <v>2</v>
      </c>
      <c r="L132" s="7">
        <v>3</v>
      </c>
    </row>
    <row r="133" spans="1:12" x14ac:dyDescent="0.55000000000000004">
      <c r="A133" s="3">
        <v>1238911291</v>
      </c>
      <c r="B133" s="1" t="s">
        <v>14</v>
      </c>
      <c r="C133" s="6">
        <v>29568</v>
      </c>
      <c r="D133" s="6">
        <v>41429</v>
      </c>
      <c r="E133" s="6"/>
      <c r="F133" s="1" t="s">
        <v>92</v>
      </c>
      <c r="G133" s="2">
        <v>31200</v>
      </c>
      <c r="H133" s="7">
        <v>1</v>
      </c>
      <c r="I133" s="7">
        <v>2</v>
      </c>
      <c r="J133" s="7">
        <v>3</v>
      </c>
      <c r="K133" s="7">
        <v>1</v>
      </c>
      <c r="L133" s="7">
        <v>3</v>
      </c>
    </row>
    <row r="134" spans="1:12" x14ac:dyDescent="0.55000000000000004">
      <c r="A134" s="3">
        <v>1238911292</v>
      </c>
      <c r="B134" s="1" t="s">
        <v>14</v>
      </c>
      <c r="C134" s="6">
        <v>29594</v>
      </c>
      <c r="D134" s="6">
        <v>41755</v>
      </c>
      <c r="E134" s="6"/>
      <c r="F134" s="1" t="s">
        <v>125</v>
      </c>
      <c r="G134" s="2">
        <v>135000.125</v>
      </c>
      <c r="H134" s="7">
        <v>3</v>
      </c>
      <c r="I134" s="7">
        <v>2</v>
      </c>
      <c r="J134" s="7">
        <v>2</v>
      </c>
      <c r="K134" s="7">
        <v>2</v>
      </c>
      <c r="L134" s="7">
        <v>3</v>
      </c>
    </row>
    <row r="135" spans="1:12" x14ac:dyDescent="0.55000000000000004">
      <c r="A135" s="3">
        <v>1238911296</v>
      </c>
      <c r="B135" s="1" t="s">
        <v>14</v>
      </c>
      <c r="C135" s="6">
        <v>29679</v>
      </c>
      <c r="D135" s="6">
        <v>41005</v>
      </c>
      <c r="E135" s="6">
        <v>41196</v>
      </c>
      <c r="F135" s="1" t="s">
        <v>108</v>
      </c>
      <c r="G135" s="2">
        <v>101423.4</v>
      </c>
      <c r="H135" s="7">
        <v>2</v>
      </c>
      <c r="I135" s="7">
        <v>2</v>
      </c>
      <c r="J135" s="7">
        <v>2</v>
      </c>
      <c r="K135" s="7">
        <v>2</v>
      </c>
      <c r="L135" s="7">
        <v>3</v>
      </c>
    </row>
    <row r="136" spans="1:12" x14ac:dyDescent="0.55000000000000004">
      <c r="A136" s="3">
        <v>1238911297</v>
      </c>
      <c r="B136" s="1" t="s">
        <v>14</v>
      </c>
      <c r="C136" s="6">
        <v>29710</v>
      </c>
      <c r="D136" s="6">
        <v>44209</v>
      </c>
      <c r="E136" s="6">
        <v>45435</v>
      </c>
      <c r="F136" s="1" t="s">
        <v>74</v>
      </c>
      <c r="G136" s="2">
        <v>56250</v>
      </c>
      <c r="H136" s="7">
        <v>1</v>
      </c>
      <c r="I136" s="7">
        <v>2</v>
      </c>
      <c r="J136" s="7">
        <v>3</v>
      </c>
      <c r="K136" s="7">
        <v>2</v>
      </c>
      <c r="L136" s="7">
        <v>1</v>
      </c>
    </row>
    <row r="137" spans="1:12" x14ac:dyDescent="0.55000000000000004">
      <c r="A137" s="3">
        <v>1238911300</v>
      </c>
      <c r="B137" s="1" t="s">
        <v>14</v>
      </c>
      <c r="C137" s="6">
        <v>29782</v>
      </c>
      <c r="D137" s="6">
        <v>41116</v>
      </c>
      <c r="E137" s="6"/>
      <c r="F137" s="1" t="s">
        <v>48</v>
      </c>
      <c r="G137" s="2">
        <v>59831.850000000006</v>
      </c>
      <c r="H137" s="7">
        <v>3</v>
      </c>
      <c r="I137" s="7">
        <v>1</v>
      </c>
      <c r="J137" s="7">
        <v>1</v>
      </c>
      <c r="K137" s="7">
        <v>1</v>
      </c>
      <c r="L137" s="7">
        <v>1</v>
      </c>
    </row>
    <row r="138" spans="1:12" x14ac:dyDescent="0.55000000000000004">
      <c r="A138" s="3">
        <v>1238911302</v>
      </c>
      <c r="B138" s="1" t="s">
        <v>14</v>
      </c>
      <c r="C138" s="6">
        <v>29862</v>
      </c>
      <c r="D138" s="6">
        <v>44414</v>
      </c>
      <c r="E138" s="6"/>
      <c r="F138" s="1" t="s">
        <v>13</v>
      </c>
      <c r="G138" s="2">
        <v>26520</v>
      </c>
      <c r="H138" s="7">
        <v>3</v>
      </c>
      <c r="I138" s="7">
        <v>2</v>
      </c>
      <c r="J138" s="7">
        <v>2</v>
      </c>
      <c r="K138" s="7">
        <v>2</v>
      </c>
      <c r="L138" s="7">
        <v>1</v>
      </c>
    </row>
    <row r="139" spans="1:12" x14ac:dyDescent="0.55000000000000004">
      <c r="A139" s="3">
        <v>1238911303</v>
      </c>
      <c r="B139" s="1" t="s">
        <v>14</v>
      </c>
      <c r="C139" s="6">
        <v>29877</v>
      </c>
      <c r="D139" s="6">
        <v>41565</v>
      </c>
      <c r="E139" s="6"/>
      <c r="F139" s="1" t="s">
        <v>13</v>
      </c>
      <c r="G139" s="2">
        <v>29718</v>
      </c>
      <c r="H139" s="7">
        <v>2</v>
      </c>
      <c r="I139" s="7">
        <v>1</v>
      </c>
      <c r="J139" s="7">
        <v>2</v>
      </c>
      <c r="K139" s="7">
        <v>3</v>
      </c>
      <c r="L139" s="7">
        <v>3</v>
      </c>
    </row>
    <row r="140" spans="1:12" x14ac:dyDescent="0.55000000000000004">
      <c r="A140" s="3">
        <v>1238911304</v>
      </c>
      <c r="B140" s="1" t="s">
        <v>14</v>
      </c>
      <c r="C140" s="6">
        <v>29877</v>
      </c>
      <c r="D140" s="6">
        <v>43026</v>
      </c>
      <c r="E140" s="6">
        <v>43773</v>
      </c>
      <c r="F140" s="1" t="s">
        <v>13</v>
      </c>
      <c r="G140" s="2">
        <v>29718</v>
      </c>
      <c r="H140" s="7">
        <v>1</v>
      </c>
      <c r="I140" s="7">
        <v>3</v>
      </c>
      <c r="J140" s="7">
        <v>1</v>
      </c>
      <c r="K140" s="7">
        <v>2</v>
      </c>
      <c r="L140" s="7">
        <v>1</v>
      </c>
    </row>
    <row r="141" spans="1:12" x14ac:dyDescent="0.55000000000000004">
      <c r="A141" s="3">
        <v>1238911305</v>
      </c>
      <c r="B141" s="1" t="s">
        <v>14</v>
      </c>
      <c r="C141" s="6">
        <v>29931</v>
      </c>
      <c r="D141" s="6">
        <v>40198</v>
      </c>
      <c r="E141" s="6"/>
      <c r="F141" s="1" t="s">
        <v>36</v>
      </c>
      <c r="G141" s="2">
        <v>67423.850000000006</v>
      </c>
      <c r="H141" s="7">
        <v>1</v>
      </c>
      <c r="I141" s="7">
        <v>2</v>
      </c>
      <c r="J141" s="7">
        <v>3</v>
      </c>
      <c r="K141" s="7">
        <v>3</v>
      </c>
      <c r="L141" s="7">
        <v>3</v>
      </c>
    </row>
    <row r="142" spans="1:12" x14ac:dyDescent="0.55000000000000004">
      <c r="A142" s="3">
        <v>1238911308</v>
      </c>
      <c r="B142" s="1" t="s">
        <v>14</v>
      </c>
      <c r="C142" s="6">
        <v>30071</v>
      </c>
      <c r="D142" s="6">
        <v>40977</v>
      </c>
      <c r="E142" s="6"/>
      <c r="F142" s="1" t="s">
        <v>30</v>
      </c>
      <c r="G142" s="2">
        <v>41943.75</v>
      </c>
      <c r="H142" s="7">
        <v>2</v>
      </c>
      <c r="I142" s="7">
        <v>1</v>
      </c>
      <c r="J142" s="7">
        <v>1</v>
      </c>
      <c r="K142" s="7">
        <v>2</v>
      </c>
      <c r="L142" s="7">
        <v>3</v>
      </c>
    </row>
    <row r="143" spans="1:12" x14ac:dyDescent="0.55000000000000004">
      <c r="A143" s="3">
        <v>1238911309</v>
      </c>
      <c r="B143" s="1" t="s">
        <v>14</v>
      </c>
      <c r="C143" s="6">
        <v>30083</v>
      </c>
      <c r="D143" s="6">
        <v>41258</v>
      </c>
      <c r="E143" s="6"/>
      <c r="F143" s="1" t="s">
        <v>90</v>
      </c>
      <c r="G143" s="2">
        <v>81250</v>
      </c>
      <c r="H143" s="7">
        <v>3</v>
      </c>
      <c r="I143" s="7">
        <v>1</v>
      </c>
      <c r="J143" s="7">
        <v>2</v>
      </c>
      <c r="K143" s="7">
        <v>3</v>
      </c>
      <c r="L143" s="7">
        <v>1</v>
      </c>
    </row>
    <row r="144" spans="1:12" x14ac:dyDescent="0.55000000000000004">
      <c r="A144" s="3">
        <v>1238911311</v>
      </c>
      <c r="B144" s="1" t="s">
        <v>14</v>
      </c>
      <c r="C144" s="6">
        <v>30181</v>
      </c>
      <c r="D144" s="6">
        <v>42748</v>
      </c>
      <c r="E144" s="6"/>
      <c r="F144" s="1" t="s">
        <v>99</v>
      </c>
      <c r="G144" s="2">
        <v>125065.52499999999</v>
      </c>
      <c r="H144" s="7">
        <v>3</v>
      </c>
      <c r="I144" s="7">
        <v>2</v>
      </c>
      <c r="J144" s="7">
        <v>2</v>
      </c>
      <c r="K144" s="7">
        <v>2</v>
      </c>
      <c r="L144" s="7">
        <v>3</v>
      </c>
    </row>
    <row r="145" spans="1:12" x14ac:dyDescent="0.55000000000000004">
      <c r="A145" s="3">
        <v>1238911312</v>
      </c>
      <c r="B145" s="1" t="s">
        <v>14</v>
      </c>
      <c r="C145" s="6">
        <v>30196</v>
      </c>
      <c r="D145" s="6">
        <v>41229</v>
      </c>
      <c r="E145" s="6"/>
      <c r="F145" s="1" t="s">
        <v>25</v>
      </c>
      <c r="G145" s="2">
        <v>28106</v>
      </c>
      <c r="H145" s="7">
        <v>3</v>
      </c>
      <c r="I145" s="7">
        <v>2</v>
      </c>
      <c r="J145" s="7">
        <v>1</v>
      </c>
      <c r="K145" s="7">
        <v>2</v>
      </c>
      <c r="L145" s="7">
        <v>2</v>
      </c>
    </row>
    <row r="146" spans="1:12" x14ac:dyDescent="0.55000000000000004">
      <c r="A146" s="3">
        <v>1238911315</v>
      </c>
      <c r="B146" s="1" t="s">
        <v>14</v>
      </c>
      <c r="C146" s="6">
        <v>30235</v>
      </c>
      <c r="D146" s="6">
        <v>43156</v>
      </c>
      <c r="E146" s="6">
        <v>45427</v>
      </c>
      <c r="F146" s="1" t="s">
        <v>132</v>
      </c>
      <c r="G146" s="2">
        <v>52494</v>
      </c>
      <c r="H146" s="7">
        <v>2</v>
      </c>
      <c r="I146" s="7">
        <v>3</v>
      </c>
      <c r="J146" s="7">
        <v>1</v>
      </c>
      <c r="K146" s="7">
        <v>1</v>
      </c>
      <c r="L146" s="7">
        <v>3</v>
      </c>
    </row>
    <row r="147" spans="1:12" x14ac:dyDescent="0.55000000000000004">
      <c r="A147" s="3">
        <v>1238911316</v>
      </c>
      <c r="B147" s="1" t="s">
        <v>14</v>
      </c>
      <c r="C147" s="6">
        <v>30237</v>
      </c>
      <c r="D147" s="6">
        <v>40713</v>
      </c>
      <c r="E147" s="6"/>
      <c r="F147" s="1" t="s">
        <v>25</v>
      </c>
      <c r="G147" s="2">
        <v>30264</v>
      </c>
      <c r="H147" s="7">
        <v>2</v>
      </c>
      <c r="I147" s="7">
        <v>2</v>
      </c>
      <c r="J147" s="7">
        <v>2</v>
      </c>
      <c r="K147" s="7">
        <v>2</v>
      </c>
      <c r="L147" s="7">
        <v>1</v>
      </c>
    </row>
    <row r="148" spans="1:12" x14ac:dyDescent="0.55000000000000004">
      <c r="A148" s="3">
        <v>1238911317</v>
      </c>
      <c r="B148" s="1" t="s">
        <v>14</v>
      </c>
      <c r="C148" s="6">
        <v>30282</v>
      </c>
      <c r="D148" s="6">
        <v>42468</v>
      </c>
      <c r="E148" s="6"/>
      <c r="F148" s="1" t="s">
        <v>25</v>
      </c>
      <c r="G148" s="2">
        <v>29276.25</v>
      </c>
      <c r="H148" s="7">
        <v>3</v>
      </c>
      <c r="I148" s="7">
        <v>1</v>
      </c>
      <c r="J148" s="7">
        <v>2</v>
      </c>
      <c r="K148" s="7">
        <v>2</v>
      </c>
      <c r="L148" s="7">
        <v>2</v>
      </c>
    </row>
    <row r="149" spans="1:12" x14ac:dyDescent="0.55000000000000004">
      <c r="A149" s="3">
        <v>1238911318</v>
      </c>
      <c r="B149" s="1" t="s">
        <v>14</v>
      </c>
      <c r="C149" s="6">
        <v>30282</v>
      </c>
      <c r="D149" s="6">
        <v>42468</v>
      </c>
      <c r="E149" s="6"/>
      <c r="F149" s="1" t="s">
        <v>25</v>
      </c>
      <c r="G149" s="2">
        <v>29276.25</v>
      </c>
      <c r="H149" s="7">
        <v>2</v>
      </c>
      <c r="I149" s="7">
        <v>3</v>
      </c>
      <c r="J149" s="7">
        <v>2</v>
      </c>
      <c r="K149" s="7">
        <v>3</v>
      </c>
      <c r="L149" s="7">
        <v>3</v>
      </c>
    </row>
    <row r="150" spans="1:12" x14ac:dyDescent="0.55000000000000004">
      <c r="A150" s="3">
        <v>1238911319</v>
      </c>
      <c r="B150" s="1" t="s">
        <v>14</v>
      </c>
      <c r="C150" s="6">
        <v>30298</v>
      </c>
      <c r="D150" s="6">
        <v>45109</v>
      </c>
      <c r="E150" s="6">
        <v>45889</v>
      </c>
      <c r="F150" s="1" t="s">
        <v>13</v>
      </c>
      <c r="G150" s="2">
        <v>31200</v>
      </c>
      <c r="H150" s="7">
        <v>3</v>
      </c>
      <c r="I150" s="7">
        <v>2</v>
      </c>
      <c r="J150" s="7">
        <v>3</v>
      </c>
      <c r="K150" s="7">
        <v>3</v>
      </c>
      <c r="L150" s="7">
        <v>3</v>
      </c>
    </row>
    <row r="151" spans="1:12" x14ac:dyDescent="0.55000000000000004">
      <c r="A151" s="3">
        <v>1238911321</v>
      </c>
      <c r="B151" s="1" t="s">
        <v>14</v>
      </c>
      <c r="C151" s="6">
        <v>30310</v>
      </c>
      <c r="D151" s="6">
        <v>43280</v>
      </c>
      <c r="E151" s="6"/>
      <c r="F151" s="1" t="s">
        <v>74</v>
      </c>
      <c r="G151" s="2">
        <v>49997.5</v>
      </c>
      <c r="H151" s="7">
        <v>3</v>
      </c>
      <c r="I151" s="7">
        <v>3</v>
      </c>
      <c r="J151" s="7">
        <v>3</v>
      </c>
      <c r="K151" s="7">
        <v>1</v>
      </c>
      <c r="L151" s="7">
        <v>1</v>
      </c>
    </row>
    <row r="152" spans="1:12" x14ac:dyDescent="0.55000000000000004">
      <c r="A152" s="3">
        <v>1238911322</v>
      </c>
      <c r="B152" s="1" t="s">
        <v>14</v>
      </c>
      <c r="C152" s="6">
        <v>30342</v>
      </c>
      <c r="D152" s="6">
        <v>44046</v>
      </c>
      <c r="E152" s="6">
        <v>44849</v>
      </c>
      <c r="F152" s="1" t="s">
        <v>63</v>
      </c>
      <c r="G152" s="2">
        <v>87922.574999999997</v>
      </c>
      <c r="H152" s="7">
        <v>3</v>
      </c>
      <c r="I152" s="7">
        <v>3</v>
      </c>
      <c r="J152" s="7">
        <v>2</v>
      </c>
      <c r="K152" s="7">
        <v>2</v>
      </c>
      <c r="L152" s="7">
        <v>2</v>
      </c>
    </row>
    <row r="153" spans="1:12" x14ac:dyDescent="0.55000000000000004">
      <c r="A153" s="3">
        <v>1238911324</v>
      </c>
      <c r="B153" s="1" t="s">
        <v>14</v>
      </c>
      <c r="C153" s="6">
        <v>30367</v>
      </c>
      <c r="D153" s="6">
        <v>45298</v>
      </c>
      <c r="E153" s="6">
        <v>45833</v>
      </c>
      <c r="F153" s="1" t="s">
        <v>13</v>
      </c>
      <c r="G153" s="2">
        <v>29354</v>
      </c>
      <c r="H153" s="7">
        <v>1</v>
      </c>
      <c r="I153" s="7">
        <v>1</v>
      </c>
      <c r="J153" s="7">
        <v>3</v>
      </c>
      <c r="K153" s="7">
        <v>3</v>
      </c>
      <c r="L153" s="7">
        <v>3</v>
      </c>
    </row>
    <row r="154" spans="1:12" x14ac:dyDescent="0.55000000000000004">
      <c r="A154" s="3">
        <v>1238911325</v>
      </c>
      <c r="B154" s="1" t="s">
        <v>14</v>
      </c>
      <c r="C154" s="6">
        <v>30367</v>
      </c>
      <c r="D154" s="6">
        <v>42669</v>
      </c>
      <c r="E154" s="6"/>
      <c r="F154" s="1" t="s">
        <v>13</v>
      </c>
      <c r="G154" s="2">
        <v>29354</v>
      </c>
      <c r="H154" s="7">
        <v>3</v>
      </c>
      <c r="I154" s="7">
        <v>3</v>
      </c>
      <c r="J154" s="7">
        <v>3</v>
      </c>
      <c r="K154" s="7">
        <v>1</v>
      </c>
      <c r="L154" s="7">
        <v>1</v>
      </c>
    </row>
    <row r="155" spans="1:12" x14ac:dyDescent="0.55000000000000004">
      <c r="A155" s="3">
        <v>1238911326</v>
      </c>
      <c r="B155" s="1" t="s">
        <v>14</v>
      </c>
      <c r="C155" s="6">
        <v>30419</v>
      </c>
      <c r="D155" s="6">
        <v>45162</v>
      </c>
      <c r="E155" s="6">
        <v>45547</v>
      </c>
      <c r="F155" s="1" t="s">
        <v>44</v>
      </c>
      <c r="G155" s="2">
        <v>28695</v>
      </c>
      <c r="H155" s="7">
        <v>2</v>
      </c>
      <c r="I155" s="7">
        <v>3</v>
      </c>
      <c r="J155" s="7">
        <v>3</v>
      </c>
      <c r="K155" s="7">
        <v>2</v>
      </c>
      <c r="L155" s="7">
        <v>1</v>
      </c>
    </row>
    <row r="156" spans="1:12" x14ac:dyDescent="0.55000000000000004">
      <c r="A156" s="3">
        <v>1238911329</v>
      </c>
      <c r="B156" s="1" t="s">
        <v>14</v>
      </c>
      <c r="C156" s="6">
        <v>30471</v>
      </c>
      <c r="D156" s="6">
        <v>39554</v>
      </c>
      <c r="E156" s="6"/>
      <c r="F156" s="1" t="s">
        <v>73</v>
      </c>
      <c r="G156" s="2">
        <v>59193.549999999996</v>
      </c>
      <c r="H156" s="7">
        <v>1</v>
      </c>
      <c r="I156" s="7">
        <v>3</v>
      </c>
      <c r="J156" s="7">
        <v>1</v>
      </c>
      <c r="K156" s="7">
        <v>3</v>
      </c>
      <c r="L156" s="7">
        <v>1</v>
      </c>
    </row>
    <row r="157" spans="1:12" x14ac:dyDescent="0.55000000000000004">
      <c r="A157" s="3">
        <v>1238911331</v>
      </c>
      <c r="B157" s="1" t="s">
        <v>14</v>
      </c>
      <c r="C157" s="6">
        <v>30495</v>
      </c>
      <c r="D157" s="6">
        <v>41966</v>
      </c>
      <c r="E157" s="6">
        <v>44734</v>
      </c>
      <c r="F157" s="1" t="s">
        <v>25</v>
      </c>
      <c r="G157" s="2">
        <v>26520</v>
      </c>
      <c r="H157" s="7">
        <v>3</v>
      </c>
      <c r="I157" s="7">
        <v>1</v>
      </c>
      <c r="J157" s="7">
        <v>2</v>
      </c>
      <c r="K157" s="7">
        <v>1</v>
      </c>
      <c r="L157" s="7">
        <v>2</v>
      </c>
    </row>
    <row r="158" spans="1:12" x14ac:dyDescent="0.55000000000000004">
      <c r="A158" s="3">
        <v>1238911332</v>
      </c>
      <c r="B158" s="1" t="s">
        <v>14</v>
      </c>
      <c r="C158" s="6">
        <v>30508</v>
      </c>
      <c r="D158" s="6">
        <v>45724</v>
      </c>
      <c r="F158" s="1" t="s">
        <v>137</v>
      </c>
      <c r="G158" s="2">
        <v>56263.75</v>
      </c>
      <c r="H158" s="7">
        <v>2</v>
      </c>
      <c r="I158" s="7">
        <v>3</v>
      </c>
      <c r="J158" s="7">
        <v>3</v>
      </c>
      <c r="K158" s="7">
        <v>1</v>
      </c>
      <c r="L158" s="7">
        <v>3</v>
      </c>
    </row>
    <row r="159" spans="1:12" x14ac:dyDescent="0.55000000000000004">
      <c r="A159" s="3">
        <v>1238911340</v>
      </c>
      <c r="B159" s="1" t="s">
        <v>14</v>
      </c>
      <c r="C159" s="6">
        <v>30747</v>
      </c>
      <c r="D159" s="6">
        <v>43189</v>
      </c>
      <c r="E159" s="6">
        <v>43968</v>
      </c>
      <c r="F159" s="1" t="s">
        <v>107</v>
      </c>
      <c r="G159" s="2">
        <v>32994</v>
      </c>
      <c r="H159" s="7">
        <v>1</v>
      </c>
      <c r="I159" s="7">
        <v>3</v>
      </c>
      <c r="J159" s="7">
        <v>2</v>
      </c>
      <c r="K159" s="7">
        <v>1</v>
      </c>
      <c r="L159" s="7">
        <v>3</v>
      </c>
    </row>
    <row r="160" spans="1:12" x14ac:dyDescent="0.55000000000000004">
      <c r="A160" s="3">
        <v>1238911346</v>
      </c>
      <c r="B160" s="1" t="s">
        <v>14</v>
      </c>
      <c r="C160" s="6">
        <v>30803</v>
      </c>
      <c r="D160" s="6">
        <v>42608</v>
      </c>
      <c r="E160" s="6"/>
      <c r="F160" s="1" t="s">
        <v>114</v>
      </c>
      <c r="G160" s="2">
        <v>78472.55</v>
      </c>
      <c r="H160" s="7">
        <v>2</v>
      </c>
      <c r="I160" s="7">
        <v>2</v>
      </c>
      <c r="J160" s="7">
        <v>1</v>
      </c>
      <c r="K160" s="7">
        <v>2</v>
      </c>
      <c r="L160" s="7">
        <v>3</v>
      </c>
    </row>
    <row r="161" spans="1:12" x14ac:dyDescent="0.55000000000000004">
      <c r="A161" s="3">
        <v>1238911349</v>
      </c>
      <c r="B161" s="1" t="s">
        <v>14</v>
      </c>
      <c r="C161" s="6">
        <v>30879</v>
      </c>
      <c r="D161" s="6">
        <v>42473</v>
      </c>
      <c r="E161" s="6"/>
      <c r="F161" s="1" t="s">
        <v>147</v>
      </c>
      <c r="G161" s="2">
        <v>190890.05000000002</v>
      </c>
      <c r="H161" s="7">
        <v>3</v>
      </c>
      <c r="I161" s="7">
        <v>3</v>
      </c>
      <c r="J161" s="7">
        <v>2</v>
      </c>
      <c r="K161" s="7">
        <v>2</v>
      </c>
      <c r="L161" s="7">
        <v>3</v>
      </c>
    </row>
    <row r="162" spans="1:12" x14ac:dyDescent="0.55000000000000004">
      <c r="A162" s="3">
        <v>1238911350</v>
      </c>
      <c r="B162" s="1" t="s">
        <v>14</v>
      </c>
      <c r="C162" s="6">
        <v>30943</v>
      </c>
      <c r="D162" s="6">
        <v>45623</v>
      </c>
      <c r="E162" s="6"/>
      <c r="F162" s="1" t="s">
        <v>13</v>
      </c>
      <c r="G162" s="2">
        <v>28600</v>
      </c>
      <c r="H162" s="7">
        <v>1</v>
      </c>
      <c r="I162" s="7">
        <v>2</v>
      </c>
      <c r="J162" s="7">
        <v>2</v>
      </c>
      <c r="K162" s="7">
        <v>3</v>
      </c>
      <c r="L162" s="7">
        <v>3</v>
      </c>
    </row>
    <row r="163" spans="1:12" x14ac:dyDescent="0.55000000000000004">
      <c r="A163" s="3">
        <v>1238911352</v>
      </c>
      <c r="B163" s="1" t="s">
        <v>14</v>
      </c>
      <c r="C163" s="6">
        <v>30983</v>
      </c>
      <c r="D163" s="6">
        <v>44093</v>
      </c>
      <c r="E163" s="6">
        <v>44986</v>
      </c>
      <c r="F163" s="1" t="s">
        <v>144</v>
      </c>
      <c r="G163" s="2">
        <v>65000</v>
      </c>
      <c r="H163" s="7">
        <v>2</v>
      </c>
      <c r="I163" s="7">
        <v>2</v>
      </c>
      <c r="J163" s="7">
        <v>1</v>
      </c>
      <c r="K163" s="7">
        <v>1</v>
      </c>
      <c r="L163" s="7">
        <v>3</v>
      </c>
    </row>
    <row r="164" spans="1:12" x14ac:dyDescent="0.55000000000000004">
      <c r="A164" s="3">
        <v>1238911371</v>
      </c>
      <c r="B164" s="1" t="s">
        <v>14</v>
      </c>
      <c r="C164" s="6">
        <v>31335</v>
      </c>
      <c r="D164" s="6">
        <v>43859</v>
      </c>
      <c r="E164" s="6">
        <v>45238</v>
      </c>
      <c r="F164" s="1" t="s">
        <v>87</v>
      </c>
      <c r="G164" s="2">
        <v>31980</v>
      </c>
      <c r="H164" s="7">
        <v>1</v>
      </c>
      <c r="I164" s="7">
        <v>2</v>
      </c>
      <c r="J164" s="7">
        <v>2</v>
      </c>
      <c r="K164" s="7">
        <v>1</v>
      </c>
      <c r="L164" s="7">
        <v>1</v>
      </c>
    </row>
    <row r="165" spans="1:12" x14ac:dyDescent="0.55000000000000004">
      <c r="A165" s="3">
        <v>1238911372</v>
      </c>
      <c r="B165" s="1" t="s">
        <v>14</v>
      </c>
      <c r="C165" s="6">
        <v>31335</v>
      </c>
      <c r="D165" s="6">
        <v>44786</v>
      </c>
      <c r="E165" s="6">
        <v>45238</v>
      </c>
      <c r="F165" s="1" t="s">
        <v>87</v>
      </c>
      <c r="G165" s="2">
        <v>31980</v>
      </c>
      <c r="H165" s="7">
        <v>3</v>
      </c>
      <c r="I165" s="7">
        <v>2</v>
      </c>
      <c r="J165" s="7">
        <v>3</v>
      </c>
      <c r="K165" s="7">
        <v>2</v>
      </c>
      <c r="L165" s="7">
        <v>2</v>
      </c>
    </row>
    <row r="166" spans="1:12" x14ac:dyDescent="0.55000000000000004">
      <c r="A166" s="3">
        <v>1238911374</v>
      </c>
      <c r="B166" s="1" t="s">
        <v>14</v>
      </c>
      <c r="C166" s="6">
        <v>31408</v>
      </c>
      <c r="D166" s="6">
        <v>43196</v>
      </c>
      <c r="E166" s="6"/>
      <c r="F166" s="1" t="s">
        <v>163</v>
      </c>
      <c r="G166" s="2">
        <v>67028</v>
      </c>
      <c r="H166" s="7">
        <v>3</v>
      </c>
      <c r="I166" s="7">
        <v>2</v>
      </c>
      <c r="J166" s="7">
        <v>1</v>
      </c>
      <c r="K166" s="7">
        <v>2</v>
      </c>
      <c r="L166" s="7">
        <v>2</v>
      </c>
    </row>
    <row r="167" spans="1:12" x14ac:dyDescent="0.55000000000000004">
      <c r="A167" s="3">
        <v>1238911376</v>
      </c>
      <c r="B167" s="1" t="s">
        <v>14</v>
      </c>
      <c r="C167" s="6">
        <v>31446</v>
      </c>
      <c r="D167" s="6">
        <v>41679</v>
      </c>
      <c r="E167" s="6"/>
      <c r="F167" s="1" t="s">
        <v>63</v>
      </c>
      <c r="G167" s="2">
        <v>72187.5</v>
      </c>
      <c r="H167" s="7">
        <v>2</v>
      </c>
      <c r="I167" s="7">
        <v>2</v>
      </c>
      <c r="J167" s="7">
        <v>2</v>
      </c>
      <c r="K167" s="7">
        <v>3</v>
      </c>
      <c r="L167" s="7">
        <v>3</v>
      </c>
    </row>
    <row r="168" spans="1:12" x14ac:dyDescent="0.55000000000000004">
      <c r="A168" s="3">
        <v>1238911380</v>
      </c>
      <c r="B168" s="1" t="s">
        <v>14</v>
      </c>
      <c r="C168" s="6">
        <v>31665</v>
      </c>
      <c r="D168" s="6">
        <v>42315</v>
      </c>
      <c r="E168" s="6">
        <v>45841</v>
      </c>
      <c r="F168" s="1" t="s">
        <v>166</v>
      </c>
      <c r="G168" s="2">
        <v>75000</v>
      </c>
      <c r="H168" s="7">
        <v>3</v>
      </c>
      <c r="I168" s="7">
        <v>2</v>
      </c>
      <c r="J168" s="7">
        <v>3</v>
      </c>
      <c r="K168" s="7">
        <v>2</v>
      </c>
      <c r="L168" s="7">
        <v>3</v>
      </c>
    </row>
    <row r="169" spans="1:12" x14ac:dyDescent="0.55000000000000004">
      <c r="A169" s="3">
        <v>1238911381</v>
      </c>
      <c r="B169" s="1" t="s">
        <v>14</v>
      </c>
      <c r="C169" s="6">
        <v>31665</v>
      </c>
      <c r="D169" s="6">
        <v>45337</v>
      </c>
      <c r="E169" s="6"/>
      <c r="F169" s="1" t="s">
        <v>166</v>
      </c>
      <c r="G169" s="2">
        <v>75000</v>
      </c>
      <c r="H169" s="7">
        <v>1</v>
      </c>
      <c r="I169" s="7">
        <v>3</v>
      </c>
      <c r="J169" s="7">
        <v>3</v>
      </c>
      <c r="K169" s="7">
        <v>2</v>
      </c>
      <c r="L169" s="7">
        <v>1</v>
      </c>
    </row>
    <row r="170" spans="1:12" x14ac:dyDescent="0.55000000000000004">
      <c r="A170" s="3">
        <v>1238911385</v>
      </c>
      <c r="B170" s="1" t="s">
        <v>14</v>
      </c>
      <c r="C170" s="6">
        <v>31755</v>
      </c>
      <c r="D170" s="6">
        <v>44806</v>
      </c>
      <c r="E170" s="6"/>
      <c r="F170" s="1" t="s">
        <v>168</v>
      </c>
      <c r="G170" s="2">
        <v>45084</v>
      </c>
      <c r="H170" s="7">
        <v>3</v>
      </c>
      <c r="I170" s="7">
        <v>1</v>
      </c>
      <c r="J170" s="7">
        <v>1</v>
      </c>
      <c r="K170" s="7">
        <v>3</v>
      </c>
      <c r="L170" s="7">
        <v>2</v>
      </c>
    </row>
    <row r="171" spans="1:12" x14ac:dyDescent="0.55000000000000004">
      <c r="A171" s="3">
        <v>1238911389</v>
      </c>
      <c r="B171" s="1" t="s">
        <v>14</v>
      </c>
      <c r="C171" s="6">
        <v>31786</v>
      </c>
      <c r="D171" s="6">
        <v>44795</v>
      </c>
      <c r="E171" s="6"/>
      <c r="F171" s="1" t="s">
        <v>170</v>
      </c>
      <c r="G171" s="2">
        <v>77500</v>
      </c>
      <c r="H171" s="7">
        <v>2</v>
      </c>
      <c r="I171" s="7">
        <v>1</v>
      </c>
      <c r="J171" s="7">
        <v>2</v>
      </c>
      <c r="K171" s="7">
        <v>3</v>
      </c>
      <c r="L171" s="7">
        <v>1</v>
      </c>
    </row>
    <row r="172" spans="1:12" x14ac:dyDescent="0.55000000000000004">
      <c r="A172" s="3">
        <v>1238911391</v>
      </c>
      <c r="B172" s="1" t="s">
        <v>14</v>
      </c>
      <c r="C172" s="6">
        <v>31835</v>
      </c>
      <c r="D172" s="6">
        <v>40961</v>
      </c>
      <c r="E172" s="6"/>
      <c r="F172" s="1" t="s">
        <v>172</v>
      </c>
      <c r="G172" s="2">
        <v>44200</v>
      </c>
      <c r="H172" s="7">
        <v>1</v>
      </c>
      <c r="I172" s="7">
        <v>1</v>
      </c>
      <c r="J172" s="7">
        <v>1</v>
      </c>
      <c r="K172" s="7">
        <v>2</v>
      </c>
      <c r="L172" s="7">
        <v>2</v>
      </c>
    </row>
    <row r="173" spans="1:12" x14ac:dyDescent="0.55000000000000004">
      <c r="A173" s="3">
        <v>1238911393</v>
      </c>
      <c r="B173" s="1" t="s">
        <v>14</v>
      </c>
      <c r="C173" s="6">
        <v>31873</v>
      </c>
      <c r="D173" s="6">
        <v>41417</v>
      </c>
      <c r="E173" s="6">
        <v>45222</v>
      </c>
      <c r="F173" s="1" t="s">
        <v>174</v>
      </c>
      <c r="G173" s="2">
        <v>96532.800000000003</v>
      </c>
      <c r="H173" s="7">
        <v>3</v>
      </c>
      <c r="I173" s="7">
        <v>2</v>
      </c>
      <c r="J173" s="7">
        <v>2</v>
      </c>
      <c r="K173" s="7">
        <v>2</v>
      </c>
      <c r="L173" s="7">
        <v>1</v>
      </c>
    </row>
    <row r="174" spans="1:12" x14ac:dyDescent="0.55000000000000004">
      <c r="A174" s="3">
        <v>1238911394</v>
      </c>
      <c r="B174" s="1" t="s">
        <v>14</v>
      </c>
      <c r="C174" s="6">
        <v>31899</v>
      </c>
      <c r="D174" s="6">
        <v>41819</v>
      </c>
      <c r="E174" s="6"/>
      <c r="F174" s="1" t="s">
        <v>175</v>
      </c>
      <c r="G174" s="2">
        <v>75750</v>
      </c>
      <c r="H174" s="7">
        <v>2</v>
      </c>
      <c r="I174" s="7">
        <v>1</v>
      </c>
      <c r="J174" s="7">
        <v>3</v>
      </c>
      <c r="K174" s="7">
        <v>2</v>
      </c>
      <c r="L174" s="7">
        <v>3</v>
      </c>
    </row>
    <row r="175" spans="1:12" x14ac:dyDescent="0.55000000000000004">
      <c r="A175" s="3">
        <v>1238911396</v>
      </c>
      <c r="B175" s="1" t="s">
        <v>14</v>
      </c>
      <c r="C175" s="6">
        <v>31921</v>
      </c>
      <c r="D175" s="6">
        <v>40487</v>
      </c>
      <c r="E175" s="6">
        <v>45557</v>
      </c>
      <c r="F175" s="1" t="s">
        <v>176</v>
      </c>
      <c r="G175" s="2">
        <v>82062.5</v>
      </c>
      <c r="H175" s="7">
        <v>1</v>
      </c>
      <c r="I175" s="7">
        <v>3</v>
      </c>
      <c r="J175" s="7">
        <v>2</v>
      </c>
      <c r="K175" s="7">
        <v>3</v>
      </c>
      <c r="L175" s="7">
        <v>2</v>
      </c>
    </row>
    <row r="176" spans="1:12" x14ac:dyDescent="0.55000000000000004">
      <c r="A176" s="3">
        <v>1238911404</v>
      </c>
      <c r="B176" s="1" t="s">
        <v>14</v>
      </c>
      <c r="C176" s="6">
        <v>30552</v>
      </c>
      <c r="D176" s="6">
        <v>43039</v>
      </c>
      <c r="E176" s="6">
        <v>44516</v>
      </c>
      <c r="F176" s="1" t="s">
        <v>182</v>
      </c>
      <c r="G176" s="2">
        <v>69004</v>
      </c>
      <c r="H176" s="7">
        <v>2</v>
      </c>
      <c r="I176" s="7">
        <v>3</v>
      </c>
      <c r="J176" s="7">
        <v>3</v>
      </c>
      <c r="K176" s="7">
        <v>2</v>
      </c>
      <c r="L176" s="7">
        <v>3</v>
      </c>
    </row>
    <row r="177" spans="1:12" x14ac:dyDescent="0.55000000000000004">
      <c r="A177" s="3">
        <v>1238911405</v>
      </c>
      <c r="B177" s="1" t="s">
        <v>14</v>
      </c>
      <c r="C177" s="6">
        <v>32028</v>
      </c>
      <c r="D177" s="6">
        <v>43374</v>
      </c>
      <c r="E177" s="6"/>
      <c r="F177" s="1" t="s">
        <v>63</v>
      </c>
      <c r="G177" s="2">
        <v>77711.400000000009</v>
      </c>
      <c r="H177" s="7">
        <v>2</v>
      </c>
      <c r="I177" s="7">
        <v>2</v>
      </c>
      <c r="J177" s="7">
        <v>2</v>
      </c>
      <c r="K177" s="7">
        <v>3</v>
      </c>
      <c r="L177" s="7">
        <v>3</v>
      </c>
    </row>
    <row r="178" spans="1:12" x14ac:dyDescent="0.55000000000000004">
      <c r="A178" s="3">
        <v>1238911406</v>
      </c>
      <c r="B178" s="1" t="s">
        <v>14</v>
      </c>
      <c r="C178" s="6">
        <v>32034</v>
      </c>
      <c r="D178" s="6">
        <v>44713</v>
      </c>
      <c r="E178" s="6"/>
      <c r="F178" s="1" t="s">
        <v>183</v>
      </c>
      <c r="G178" s="2">
        <v>60281.25</v>
      </c>
      <c r="H178" s="7">
        <v>3</v>
      </c>
      <c r="I178" s="7">
        <v>3</v>
      </c>
      <c r="J178" s="7">
        <v>3</v>
      </c>
      <c r="K178" s="7">
        <v>3</v>
      </c>
      <c r="L178" s="7">
        <v>2</v>
      </c>
    </row>
    <row r="179" spans="1:12" x14ac:dyDescent="0.55000000000000004">
      <c r="A179" s="3">
        <v>1238911407</v>
      </c>
      <c r="B179" s="1" t="s">
        <v>14</v>
      </c>
      <c r="C179" s="6">
        <v>32109</v>
      </c>
      <c r="D179" s="6">
        <v>40931</v>
      </c>
      <c r="E179" s="6"/>
      <c r="F179" s="1" t="s">
        <v>184</v>
      </c>
      <c r="G179" s="2">
        <v>187500</v>
      </c>
      <c r="H179" s="7">
        <v>3</v>
      </c>
      <c r="I179" s="7">
        <v>2</v>
      </c>
      <c r="J179" s="7">
        <v>2</v>
      </c>
      <c r="K179" s="7">
        <v>2</v>
      </c>
      <c r="L179" s="7">
        <v>2</v>
      </c>
    </row>
    <row r="180" spans="1:12" x14ac:dyDescent="0.55000000000000004">
      <c r="A180" s="3">
        <v>1238911408</v>
      </c>
      <c r="B180" s="1" t="s">
        <v>14</v>
      </c>
      <c r="C180" s="6">
        <v>32141</v>
      </c>
      <c r="D180" s="6">
        <v>42819</v>
      </c>
      <c r="E180" s="6"/>
      <c r="F180" s="1" t="s">
        <v>13</v>
      </c>
      <c r="G180" s="2">
        <v>28886</v>
      </c>
      <c r="H180" s="7">
        <v>2</v>
      </c>
      <c r="I180" s="7">
        <v>1</v>
      </c>
      <c r="J180" s="7">
        <v>1</v>
      </c>
      <c r="K180" s="7">
        <v>3</v>
      </c>
      <c r="L180" s="7">
        <v>3</v>
      </c>
    </row>
    <row r="181" spans="1:12" x14ac:dyDescent="0.55000000000000004">
      <c r="A181" s="3">
        <v>1238911412</v>
      </c>
      <c r="B181" s="1" t="s">
        <v>14</v>
      </c>
      <c r="C181" s="6">
        <v>32176</v>
      </c>
      <c r="D181" s="6">
        <v>44104</v>
      </c>
      <c r="E181" s="6"/>
      <c r="F181" s="1" t="s">
        <v>96</v>
      </c>
      <c r="G181" s="2">
        <v>31512.5</v>
      </c>
      <c r="H181" s="7">
        <v>3</v>
      </c>
      <c r="I181" s="7">
        <v>2</v>
      </c>
      <c r="J181" s="7">
        <v>2</v>
      </c>
      <c r="K181" s="7">
        <v>1</v>
      </c>
      <c r="L181" s="7">
        <v>2</v>
      </c>
    </row>
    <row r="182" spans="1:12" x14ac:dyDescent="0.55000000000000004">
      <c r="A182" s="3">
        <v>1238911413</v>
      </c>
      <c r="B182" s="1" t="s">
        <v>14</v>
      </c>
      <c r="C182" s="6">
        <v>32176</v>
      </c>
      <c r="D182" s="6">
        <v>41228</v>
      </c>
      <c r="E182" s="6"/>
      <c r="F182" s="1" t="s">
        <v>96</v>
      </c>
      <c r="G182" s="2">
        <v>31512.5</v>
      </c>
      <c r="H182" s="7">
        <v>3</v>
      </c>
      <c r="I182" s="7">
        <v>2</v>
      </c>
      <c r="J182" s="7">
        <v>3</v>
      </c>
      <c r="K182" s="7">
        <v>1</v>
      </c>
      <c r="L182" s="7">
        <v>1</v>
      </c>
    </row>
    <row r="183" spans="1:12" x14ac:dyDescent="0.55000000000000004">
      <c r="A183" s="3">
        <v>1238911416</v>
      </c>
      <c r="B183" s="1" t="s">
        <v>14</v>
      </c>
      <c r="C183" s="6">
        <v>32304</v>
      </c>
      <c r="D183" s="6">
        <v>42389</v>
      </c>
      <c r="E183" s="6">
        <v>43351</v>
      </c>
      <c r="F183" s="1" t="s">
        <v>188</v>
      </c>
      <c r="G183" s="2">
        <v>39650</v>
      </c>
      <c r="H183" s="7">
        <v>2</v>
      </c>
      <c r="I183" s="7">
        <v>1</v>
      </c>
      <c r="J183" s="7">
        <v>1</v>
      </c>
      <c r="K183" s="7">
        <v>2</v>
      </c>
      <c r="L183" s="7">
        <v>2</v>
      </c>
    </row>
    <row r="184" spans="1:12" x14ac:dyDescent="0.55000000000000004">
      <c r="A184" s="3">
        <v>1238911417</v>
      </c>
      <c r="B184" s="1" t="s">
        <v>14</v>
      </c>
      <c r="C184" s="6">
        <v>32304</v>
      </c>
      <c r="D184" s="6">
        <v>42389</v>
      </c>
      <c r="E184" s="6"/>
      <c r="F184" s="1" t="s">
        <v>188</v>
      </c>
      <c r="G184" s="2">
        <v>39650</v>
      </c>
      <c r="H184" s="7">
        <v>1</v>
      </c>
      <c r="I184" s="7">
        <v>2</v>
      </c>
      <c r="J184" s="7">
        <v>3</v>
      </c>
      <c r="K184" s="7">
        <v>2</v>
      </c>
      <c r="L184" s="7">
        <v>3</v>
      </c>
    </row>
    <row r="185" spans="1:12" x14ac:dyDescent="0.55000000000000004">
      <c r="A185" s="3">
        <v>1238911418</v>
      </c>
      <c r="B185" s="1" t="s">
        <v>14</v>
      </c>
      <c r="C185" s="6">
        <v>32322</v>
      </c>
      <c r="D185" s="6">
        <v>42994</v>
      </c>
      <c r="E185" s="6"/>
      <c r="F185" s="1" t="s">
        <v>92</v>
      </c>
      <c r="G185" s="2">
        <v>28600</v>
      </c>
      <c r="H185" s="7">
        <v>2</v>
      </c>
      <c r="I185" s="7">
        <v>2</v>
      </c>
      <c r="J185" s="7">
        <v>3</v>
      </c>
      <c r="K185" s="7">
        <v>3</v>
      </c>
      <c r="L185" s="7">
        <v>3</v>
      </c>
    </row>
    <row r="186" spans="1:12" x14ac:dyDescent="0.55000000000000004">
      <c r="A186" s="3">
        <v>1238911421</v>
      </c>
      <c r="B186" s="1" t="s">
        <v>14</v>
      </c>
      <c r="C186" s="6">
        <v>32349</v>
      </c>
      <c r="D186" s="6">
        <v>42230</v>
      </c>
      <c r="E186" s="6"/>
      <c r="F186" s="1" t="s">
        <v>87</v>
      </c>
      <c r="G186" s="2">
        <v>31200</v>
      </c>
      <c r="H186" s="7">
        <v>2</v>
      </c>
      <c r="I186" s="7">
        <v>2</v>
      </c>
      <c r="J186" s="7">
        <v>2</v>
      </c>
      <c r="K186" s="7">
        <v>3</v>
      </c>
      <c r="L186" s="7">
        <v>2</v>
      </c>
    </row>
    <row r="187" spans="1:12" x14ac:dyDescent="0.55000000000000004">
      <c r="A187" s="3">
        <v>1238911424</v>
      </c>
      <c r="B187" s="1" t="s">
        <v>14</v>
      </c>
      <c r="C187" s="6">
        <v>32398</v>
      </c>
      <c r="D187" s="6">
        <v>42729</v>
      </c>
      <c r="E187" s="6"/>
      <c r="F187" s="1" t="s">
        <v>191</v>
      </c>
      <c r="G187" s="2">
        <v>64062.5</v>
      </c>
      <c r="H187" s="7">
        <v>3</v>
      </c>
      <c r="I187" s="7">
        <v>3</v>
      </c>
      <c r="J187" s="7">
        <v>3</v>
      </c>
      <c r="K187" s="7">
        <v>1</v>
      </c>
      <c r="L187" s="7">
        <v>1</v>
      </c>
    </row>
    <row r="188" spans="1:12" x14ac:dyDescent="0.55000000000000004">
      <c r="A188" s="3">
        <v>1238911426</v>
      </c>
      <c r="B188" s="1" t="s">
        <v>14</v>
      </c>
      <c r="C188" s="6">
        <v>32419</v>
      </c>
      <c r="D188" s="6">
        <v>42550</v>
      </c>
      <c r="E188" s="6"/>
      <c r="F188" s="1" t="s">
        <v>192</v>
      </c>
      <c r="G188" s="2">
        <v>83687.5</v>
      </c>
      <c r="H188" s="7">
        <v>2</v>
      </c>
      <c r="I188" s="7">
        <v>1</v>
      </c>
      <c r="J188" s="7">
        <v>3</v>
      </c>
      <c r="K188" s="7">
        <v>3</v>
      </c>
      <c r="L188" s="7">
        <v>2</v>
      </c>
    </row>
    <row r="189" spans="1:12" x14ac:dyDescent="0.55000000000000004">
      <c r="A189" s="3">
        <v>1238911427</v>
      </c>
      <c r="B189" s="1" t="s">
        <v>14</v>
      </c>
      <c r="C189" s="6">
        <v>32449</v>
      </c>
      <c r="D189" s="6">
        <v>42245</v>
      </c>
      <c r="E189" s="6"/>
      <c r="F189" s="1" t="s">
        <v>193</v>
      </c>
      <c r="G189" s="2">
        <v>128243.375</v>
      </c>
      <c r="H189" s="7">
        <v>2</v>
      </c>
      <c r="I189" s="7">
        <v>3</v>
      </c>
      <c r="J189" s="7">
        <v>3</v>
      </c>
      <c r="K189" s="7">
        <v>3</v>
      </c>
      <c r="L189" s="7">
        <v>2</v>
      </c>
    </row>
    <row r="190" spans="1:12" x14ac:dyDescent="0.55000000000000004">
      <c r="A190" s="3">
        <v>1238911430</v>
      </c>
      <c r="B190" s="1" t="s">
        <v>14</v>
      </c>
      <c r="C190" s="6">
        <v>32525</v>
      </c>
      <c r="D190" s="6">
        <v>41226</v>
      </c>
      <c r="E190" s="6"/>
      <c r="F190" s="1" t="s">
        <v>195</v>
      </c>
      <c r="G190" s="2">
        <v>61875.125</v>
      </c>
      <c r="H190" s="7">
        <v>1</v>
      </c>
      <c r="I190" s="7">
        <v>3</v>
      </c>
      <c r="J190" s="7">
        <v>1</v>
      </c>
      <c r="K190" s="7">
        <v>2</v>
      </c>
      <c r="L190" s="7">
        <v>3</v>
      </c>
    </row>
    <row r="191" spans="1:12" x14ac:dyDescent="0.55000000000000004">
      <c r="A191" s="3">
        <v>1238911438</v>
      </c>
      <c r="B191" s="1" t="s">
        <v>14</v>
      </c>
      <c r="C191" s="6">
        <v>32684</v>
      </c>
      <c r="D191" s="6">
        <v>42041</v>
      </c>
      <c r="E191" s="6">
        <v>44867</v>
      </c>
      <c r="F191" s="1" t="s">
        <v>198</v>
      </c>
      <c r="G191" s="2">
        <v>76187.5</v>
      </c>
      <c r="H191" s="7">
        <v>2</v>
      </c>
      <c r="I191" s="7">
        <v>2</v>
      </c>
      <c r="J191" s="7">
        <v>3</v>
      </c>
      <c r="K191" s="7">
        <v>3</v>
      </c>
      <c r="L191" s="7">
        <v>1</v>
      </c>
    </row>
    <row r="192" spans="1:12" x14ac:dyDescent="0.55000000000000004">
      <c r="A192" s="3">
        <v>1238911449</v>
      </c>
      <c r="B192" s="1" t="s">
        <v>14</v>
      </c>
      <c r="C192" s="6">
        <v>32841</v>
      </c>
      <c r="D192" s="6">
        <v>45435</v>
      </c>
      <c r="E192" s="6"/>
      <c r="F192" s="1" t="s">
        <v>185</v>
      </c>
      <c r="G192" s="2">
        <v>51766</v>
      </c>
      <c r="H192" s="7">
        <v>3</v>
      </c>
      <c r="I192" s="7">
        <v>2</v>
      </c>
      <c r="J192" s="7">
        <v>3</v>
      </c>
      <c r="K192" s="7">
        <v>3</v>
      </c>
      <c r="L192" s="7">
        <v>3</v>
      </c>
    </row>
    <row r="193" spans="1:12" x14ac:dyDescent="0.55000000000000004">
      <c r="A193" s="3">
        <v>1238911453</v>
      </c>
      <c r="B193" s="1" t="s">
        <v>14</v>
      </c>
      <c r="C193" s="6">
        <v>32901</v>
      </c>
      <c r="D193" s="6">
        <v>41599</v>
      </c>
      <c r="E193" s="6"/>
      <c r="F193" s="1" t="s">
        <v>114</v>
      </c>
      <c r="G193" s="2">
        <v>85692.75</v>
      </c>
      <c r="H193" s="7">
        <v>1</v>
      </c>
      <c r="I193" s="7">
        <v>3</v>
      </c>
      <c r="J193" s="7">
        <v>1</v>
      </c>
      <c r="K193" s="7">
        <v>2</v>
      </c>
      <c r="L193" s="7">
        <v>1</v>
      </c>
    </row>
    <row r="194" spans="1:12" x14ac:dyDescent="0.55000000000000004">
      <c r="A194" s="3">
        <v>1238911454</v>
      </c>
      <c r="B194" s="1" t="s">
        <v>14</v>
      </c>
      <c r="C194" s="6">
        <v>32911</v>
      </c>
      <c r="D194" s="6">
        <v>41155</v>
      </c>
      <c r="E194" s="6">
        <v>45490</v>
      </c>
      <c r="F194" s="1" t="s">
        <v>80</v>
      </c>
      <c r="G194" s="2">
        <v>44200</v>
      </c>
      <c r="H194" s="7">
        <v>1</v>
      </c>
      <c r="I194" s="7">
        <v>1</v>
      </c>
      <c r="J194" s="7">
        <v>3</v>
      </c>
      <c r="K194" s="7">
        <v>3</v>
      </c>
      <c r="L194" s="7">
        <v>1</v>
      </c>
    </row>
    <row r="195" spans="1:12" x14ac:dyDescent="0.55000000000000004">
      <c r="A195" s="3">
        <v>1238911455</v>
      </c>
      <c r="B195" s="1" t="s">
        <v>14</v>
      </c>
      <c r="C195" s="6">
        <v>32928</v>
      </c>
      <c r="D195" s="6">
        <v>42290</v>
      </c>
      <c r="E195" s="6"/>
      <c r="F195" s="1" t="s">
        <v>13</v>
      </c>
      <c r="G195" s="2">
        <v>28600</v>
      </c>
      <c r="H195" s="7">
        <v>3</v>
      </c>
      <c r="I195" s="7">
        <v>2</v>
      </c>
      <c r="J195" s="7">
        <v>1</v>
      </c>
      <c r="K195" s="7">
        <v>3</v>
      </c>
      <c r="L195" s="7">
        <v>1</v>
      </c>
    </row>
    <row r="196" spans="1:12" x14ac:dyDescent="0.55000000000000004">
      <c r="A196" s="3">
        <v>1238911460</v>
      </c>
      <c r="B196" s="1" t="s">
        <v>14</v>
      </c>
      <c r="C196" s="6">
        <v>32967</v>
      </c>
      <c r="D196" s="6">
        <v>42638</v>
      </c>
      <c r="E196" s="6"/>
      <c r="F196" s="1" t="s">
        <v>207</v>
      </c>
      <c r="G196" s="2">
        <v>76759.475000000006</v>
      </c>
      <c r="H196" s="7">
        <v>3</v>
      </c>
      <c r="I196" s="7">
        <v>2</v>
      </c>
      <c r="J196" s="7">
        <v>3</v>
      </c>
      <c r="K196" s="7">
        <v>3</v>
      </c>
      <c r="L196" s="7">
        <v>2</v>
      </c>
    </row>
    <row r="197" spans="1:12" x14ac:dyDescent="0.55000000000000004">
      <c r="A197" s="3">
        <v>1238911461</v>
      </c>
      <c r="B197" s="1" t="s">
        <v>14</v>
      </c>
      <c r="C197" s="6">
        <v>32967</v>
      </c>
      <c r="D197" s="6">
        <v>42638</v>
      </c>
      <c r="E197" s="6"/>
      <c r="F197" s="1" t="s">
        <v>207</v>
      </c>
      <c r="G197" s="2">
        <v>76759.475000000006</v>
      </c>
      <c r="H197" s="7">
        <v>2</v>
      </c>
      <c r="I197" s="7">
        <v>3</v>
      </c>
      <c r="J197" s="7">
        <v>3</v>
      </c>
      <c r="K197" s="7">
        <v>3</v>
      </c>
      <c r="L197" s="7">
        <v>3</v>
      </c>
    </row>
    <row r="198" spans="1:12" x14ac:dyDescent="0.55000000000000004">
      <c r="A198" s="3">
        <v>1238911467</v>
      </c>
      <c r="B198" s="1" t="s">
        <v>14</v>
      </c>
      <c r="C198" s="6">
        <v>33028</v>
      </c>
      <c r="D198" s="6">
        <v>44498</v>
      </c>
      <c r="E198" s="6">
        <v>45588</v>
      </c>
      <c r="F198" s="1" t="s">
        <v>92</v>
      </c>
      <c r="G198" s="2">
        <v>28600</v>
      </c>
      <c r="H198" s="7">
        <v>2</v>
      </c>
      <c r="I198" s="7">
        <v>2</v>
      </c>
      <c r="J198" s="7">
        <v>3</v>
      </c>
      <c r="K198" s="7">
        <v>1</v>
      </c>
      <c r="L198" s="7">
        <v>1</v>
      </c>
    </row>
    <row r="199" spans="1:12" x14ac:dyDescent="0.55000000000000004">
      <c r="A199" s="3">
        <v>1238911468</v>
      </c>
      <c r="B199" s="1" t="s">
        <v>14</v>
      </c>
      <c r="C199" s="6">
        <v>33218</v>
      </c>
      <c r="D199" s="6">
        <v>41079</v>
      </c>
      <c r="E199" s="6"/>
      <c r="F199" s="1" t="s">
        <v>210</v>
      </c>
      <c r="G199" s="2">
        <v>71993.675000000003</v>
      </c>
      <c r="H199" s="7">
        <v>2</v>
      </c>
      <c r="I199" s="7">
        <v>1</v>
      </c>
      <c r="J199" s="7">
        <v>1</v>
      </c>
      <c r="K199" s="7">
        <v>3</v>
      </c>
      <c r="L199" s="7">
        <v>3</v>
      </c>
    </row>
    <row r="200" spans="1:12" x14ac:dyDescent="0.55000000000000004">
      <c r="A200" s="3">
        <v>1238911473</v>
      </c>
      <c r="B200" s="1" t="s">
        <v>14</v>
      </c>
      <c r="C200" s="6">
        <v>33002</v>
      </c>
      <c r="D200" s="6">
        <v>45000</v>
      </c>
      <c r="E200" s="6"/>
      <c r="F200" s="1" t="s">
        <v>211</v>
      </c>
      <c r="G200" s="2">
        <v>110000.15</v>
      </c>
      <c r="H200" s="7">
        <v>2</v>
      </c>
      <c r="I200" s="7">
        <v>3</v>
      </c>
      <c r="J200" s="7">
        <v>3</v>
      </c>
      <c r="K200" s="7">
        <v>3</v>
      </c>
      <c r="L200" s="7">
        <v>2</v>
      </c>
    </row>
    <row r="201" spans="1:12" x14ac:dyDescent="0.55000000000000004">
      <c r="A201" s="3">
        <v>1238911474</v>
      </c>
      <c r="B201" s="1" t="s">
        <v>14</v>
      </c>
      <c r="C201" s="6">
        <v>33158</v>
      </c>
      <c r="D201" s="6">
        <v>41925</v>
      </c>
      <c r="E201" s="6">
        <v>44401</v>
      </c>
      <c r="F201" s="1" t="s">
        <v>212</v>
      </c>
      <c r="G201" s="2">
        <v>86872.175000000003</v>
      </c>
      <c r="H201" s="7">
        <v>2</v>
      </c>
      <c r="I201" s="7">
        <v>2</v>
      </c>
      <c r="J201" s="7">
        <v>1</v>
      </c>
      <c r="K201" s="7">
        <v>3</v>
      </c>
      <c r="L201" s="7">
        <v>3</v>
      </c>
    </row>
    <row r="202" spans="1:12" x14ac:dyDescent="0.55000000000000004">
      <c r="A202" s="3">
        <v>1238911477</v>
      </c>
      <c r="B202" s="1" t="s">
        <v>14</v>
      </c>
      <c r="C202" s="6">
        <v>33164</v>
      </c>
      <c r="D202" s="6">
        <v>44657</v>
      </c>
      <c r="E202" s="6"/>
      <c r="F202" s="1" t="s">
        <v>215</v>
      </c>
      <c r="G202" s="2">
        <v>81394.625</v>
      </c>
      <c r="H202" s="7">
        <v>3</v>
      </c>
      <c r="I202" s="7">
        <v>3</v>
      </c>
      <c r="J202" s="7">
        <v>1</v>
      </c>
      <c r="K202" s="7">
        <v>2</v>
      </c>
      <c r="L202" s="7">
        <v>1</v>
      </c>
    </row>
    <row r="203" spans="1:12" x14ac:dyDescent="0.55000000000000004">
      <c r="A203" s="3">
        <v>1238911483</v>
      </c>
      <c r="B203" s="1" t="s">
        <v>14</v>
      </c>
      <c r="C203" s="6">
        <v>33224</v>
      </c>
      <c r="D203" s="6">
        <v>43183</v>
      </c>
      <c r="E203" s="6"/>
      <c r="F203" s="1" t="s">
        <v>48</v>
      </c>
      <c r="G203" s="2">
        <v>52500</v>
      </c>
      <c r="H203" s="7">
        <v>3</v>
      </c>
      <c r="I203" s="7">
        <v>3</v>
      </c>
      <c r="J203" s="7">
        <v>3</v>
      </c>
      <c r="K203" s="7">
        <v>3</v>
      </c>
      <c r="L203" s="7">
        <v>1</v>
      </c>
    </row>
    <row r="204" spans="1:12" x14ac:dyDescent="0.55000000000000004">
      <c r="A204" s="3">
        <v>1238911484</v>
      </c>
      <c r="B204" s="1" t="s">
        <v>14</v>
      </c>
      <c r="C204" s="6">
        <v>33023</v>
      </c>
      <c r="D204" s="6">
        <v>45055</v>
      </c>
      <c r="E204" s="6"/>
      <c r="F204" s="1" t="s">
        <v>48</v>
      </c>
      <c r="G204" s="2">
        <v>52500</v>
      </c>
      <c r="H204" s="7">
        <v>2</v>
      </c>
      <c r="I204" s="7">
        <v>1</v>
      </c>
      <c r="J204" s="7">
        <v>1</v>
      </c>
      <c r="K204" s="7">
        <v>2</v>
      </c>
      <c r="L204" s="7">
        <v>2</v>
      </c>
    </row>
    <row r="205" spans="1:12" x14ac:dyDescent="0.55000000000000004">
      <c r="A205" s="3">
        <v>1238911488</v>
      </c>
      <c r="B205" s="1" t="s">
        <v>14</v>
      </c>
      <c r="C205" s="6">
        <v>33270</v>
      </c>
      <c r="D205" s="6">
        <v>42715</v>
      </c>
      <c r="E205" s="6">
        <v>44821</v>
      </c>
      <c r="F205" s="1" t="s">
        <v>220</v>
      </c>
      <c r="G205" s="2">
        <v>78000</v>
      </c>
      <c r="H205" s="7">
        <v>3</v>
      </c>
      <c r="I205" s="7">
        <v>2</v>
      </c>
      <c r="J205" s="7">
        <v>1</v>
      </c>
      <c r="K205" s="7">
        <v>2</v>
      </c>
      <c r="L205" s="7">
        <v>2</v>
      </c>
    </row>
    <row r="206" spans="1:12" x14ac:dyDescent="0.55000000000000004">
      <c r="A206" s="3">
        <v>1238911489</v>
      </c>
      <c r="B206" s="1" t="s">
        <v>14</v>
      </c>
      <c r="C206" s="6">
        <v>33370</v>
      </c>
      <c r="D206" s="6">
        <v>42198</v>
      </c>
      <c r="E206" s="6"/>
      <c r="F206" s="1" t="s">
        <v>13</v>
      </c>
      <c r="G206" s="2">
        <v>31200</v>
      </c>
      <c r="H206" s="7">
        <v>3</v>
      </c>
      <c r="I206" s="7">
        <v>1</v>
      </c>
      <c r="J206" s="7">
        <v>1</v>
      </c>
      <c r="K206" s="7">
        <v>1</v>
      </c>
      <c r="L206" s="7">
        <v>2</v>
      </c>
    </row>
    <row r="207" spans="1:12" x14ac:dyDescent="0.55000000000000004">
      <c r="A207" s="3">
        <v>1238911492</v>
      </c>
      <c r="B207" s="1" t="s">
        <v>14</v>
      </c>
      <c r="C207" s="6">
        <v>33315</v>
      </c>
      <c r="D207" s="6">
        <v>43780</v>
      </c>
      <c r="E207" s="6"/>
      <c r="F207" s="1" t="s">
        <v>44</v>
      </c>
      <c r="G207" s="2">
        <v>28600</v>
      </c>
      <c r="H207" s="7">
        <v>2</v>
      </c>
      <c r="I207" s="7">
        <v>2</v>
      </c>
      <c r="J207" s="7">
        <v>2</v>
      </c>
      <c r="K207" s="7">
        <v>1</v>
      </c>
      <c r="L207" s="7">
        <v>1</v>
      </c>
    </row>
    <row r="208" spans="1:12" x14ac:dyDescent="0.55000000000000004">
      <c r="A208" s="3">
        <v>1238911494</v>
      </c>
      <c r="B208" s="1" t="s">
        <v>14</v>
      </c>
      <c r="C208" s="6">
        <v>33330</v>
      </c>
      <c r="D208" s="6">
        <v>44807</v>
      </c>
      <c r="E208" s="6">
        <v>45776</v>
      </c>
      <c r="F208" s="1" t="s">
        <v>157</v>
      </c>
      <c r="G208" s="2">
        <v>89963.75</v>
      </c>
      <c r="H208" s="7">
        <v>1</v>
      </c>
      <c r="I208" s="7">
        <v>3</v>
      </c>
      <c r="J208" s="7">
        <v>2</v>
      </c>
      <c r="K208" s="7">
        <v>2</v>
      </c>
      <c r="L208" s="7">
        <v>2</v>
      </c>
    </row>
    <row r="209" spans="1:12" x14ac:dyDescent="0.55000000000000004">
      <c r="A209" s="3">
        <v>1238911497</v>
      </c>
      <c r="B209" s="1" t="s">
        <v>14</v>
      </c>
      <c r="C209" s="6">
        <v>33571</v>
      </c>
      <c r="D209" s="6">
        <v>41835</v>
      </c>
      <c r="E209" s="6">
        <v>44587</v>
      </c>
      <c r="F209" s="1" t="s">
        <v>68</v>
      </c>
      <c r="G209" s="2">
        <v>64142</v>
      </c>
      <c r="H209" s="7">
        <v>1</v>
      </c>
      <c r="I209" s="7">
        <v>1</v>
      </c>
      <c r="J209" s="7">
        <v>2</v>
      </c>
      <c r="K209" s="7">
        <v>1</v>
      </c>
      <c r="L209" s="7">
        <v>2</v>
      </c>
    </row>
    <row r="210" spans="1:12" x14ac:dyDescent="0.55000000000000004">
      <c r="A210" s="3">
        <v>1238911499</v>
      </c>
      <c r="B210" s="1" t="s">
        <v>14</v>
      </c>
      <c r="C210" s="6">
        <v>33413</v>
      </c>
      <c r="D210" s="6">
        <v>45014</v>
      </c>
      <c r="E210" s="6"/>
      <c r="F210" s="1" t="s">
        <v>225</v>
      </c>
      <c r="G210" s="2">
        <v>75000</v>
      </c>
      <c r="H210" s="7">
        <v>1</v>
      </c>
      <c r="I210" s="7">
        <v>3</v>
      </c>
      <c r="J210" s="7">
        <v>1</v>
      </c>
      <c r="K210" s="7">
        <v>1</v>
      </c>
      <c r="L210" s="7">
        <v>1</v>
      </c>
    </row>
    <row r="211" spans="1:12" x14ac:dyDescent="0.55000000000000004">
      <c r="A211" s="3">
        <v>1238911501</v>
      </c>
      <c r="B211" s="1" t="s">
        <v>14</v>
      </c>
      <c r="C211" s="6">
        <v>33422</v>
      </c>
      <c r="D211" s="6">
        <v>43944</v>
      </c>
      <c r="E211" s="6"/>
      <c r="F211" s="1" t="s">
        <v>226</v>
      </c>
      <c r="G211" s="2">
        <v>68750</v>
      </c>
      <c r="H211" s="7">
        <v>3</v>
      </c>
      <c r="I211" s="7">
        <v>3</v>
      </c>
      <c r="J211" s="7">
        <v>3</v>
      </c>
      <c r="K211" s="7">
        <v>2</v>
      </c>
      <c r="L211" s="7">
        <v>1</v>
      </c>
    </row>
    <row r="212" spans="1:12" x14ac:dyDescent="0.55000000000000004">
      <c r="A212" s="3">
        <v>1238911504</v>
      </c>
      <c r="B212" s="1" t="s">
        <v>14</v>
      </c>
      <c r="C212" s="6">
        <v>33442</v>
      </c>
      <c r="D212" s="6">
        <v>41527</v>
      </c>
      <c r="E212" s="6"/>
      <c r="F212" s="1" t="s">
        <v>141</v>
      </c>
      <c r="G212" s="2">
        <v>80314</v>
      </c>
      <c r="H212" s="7">
        <v>3</v>
      </c>
      <c r="I212" s="7">
        <v>3</v>
      </c>
      <c r="J212" s="7">
        <v>3</v>
      </c>
      <c r="K212" s="7">
        <v>2</v>
      </c>
      <c r="L212" s="7">
        <v>2</v>
      </c>
    </row>
    <row r="213" spans="1:12" x14ac:dyDescent="0.55000000000000004">
      <c r="A213" s="3">
        <v>1238911505</v>
      </c>
      <c r="B213" s="1" t="s">
        <v>14</v>
      </c>
      <c r="C213" s="6">
        <v>33297</v>
      </c>
      <c r="D213" s="6">
        <v>43409</v>
      </c>
      <c r="E213" s="6"/>
      <c r="F213" s="1" t="s">
        <v>141</v>
      </c>
      <c r="G213" s="2">
        <v>80314</v>
      </c>
      <c r="H213" s="7">
        <v>3</v>
      </c>
      <c r="I213" s="7">
        <v>2</v>
      </c>
      <c r="J213" s="7">
        <v>1</v>
      </c>
      <c r="K213" s="7">
        <v>3</v>
      </c>
      <c r="L213" s="7">
        <v>1</v>
      </c>
    </row>
    <row r="214" spans="1:12" x14ac:dyDescent="0.55000000000000004">
      <c r="A214" s="3">
        <v>1238911508</v>
      </c>
      <c r="B214" s="1" t="s">
        <v>14</v>
      </c>
      <c r="C214" s="6">
        <v>34915</v>
      </c>
      <c r="D214" s="6">
        <v>44793</v>
      </c>
      <c r="E214" s="6">
        <v>45500</v>
      </c>
      <c r="F214" s="1" t="s">
        <v>229</v>
      </c>
      <c r="G214" s="2">
        <v>49725</v>
      </c>
      <c r="H214" s="7">
        <v>1</v>
      </c>
      <c r="I214" s="7">
        <v>3</v>
      </c>
      <c r="J214" s="7">
        <v>3</v>
      </c>
      <c r="K214" s="7">
        <v>1</v>
      </c>
      <c r="L214" s="7">
        <v>2</v>
      </c>
    </row>
    <row r="215" spans="1:12" x14ac:dyDescent="0.55000000000000004">
      <c r="A215" s="3">
        <v>1238911512</v>
      </c>
      <c r="B215" s="1" t="s">
        <v>14</v>
      </c>
      <c r="C215" s="6">
        <v>33494</v>
      </c>
      <c r="D215" s="6">
        <v>41494</v>
      </c>
      <c r="E215" s="6">
        <v>45484</v>
      </c>
      <c r="F215" s="1" t="s">
        <v>134</v>
      </c>
      <c r="G215" s="2">
        <v>57382</v>
      </c>
      <c r="H215" s="7">
        <v>3</v>
      </c>
      <c r="I215" s="7">
        <v>2</v>
      </c>
      <c r="J215" s="7">
        <v>2</v>
      </c>
      <c r="K215" s="7">
        <v>3</v>
      </c>
      <c r="L215" s="7">
        <v>2</v>
      </c>
    </row>
    <row r="216" spans="1:12" x14ac:dyDescent="0.55000000000000004">
      <c r="A216" s="3">
        <v>1238911515</v>
      </c>
      <c r="B216" s="1" t="s">
        <v>14</v>
      </c>
      <c r="C216" s="6">
        <v>33508</v>
      </c>
      <c r="D216" s="6">
        <v>42941</v>
      </c>
      <c r="E216" s="6"/>
      <c r="F216" s="1" t="s">
        <v>233</v>
      </c>
      <c r="G216" s="2">
        <v>52494</v>
      </c>
      <c r="H216" s="7">
        <v>1</v>
      </c>
      <c r="I216" s="7">
        <v>2</v>
      </c>
      <c r="J216" s="7">
        <v>1</v>
      </c>
      <c r="K216" s="7">
        <v>3</v>
      </c>
      <c r="L216" s="7">
        <v>2</v>
      </c>
    </row>
    <row r="217" spans="1:12" x14ac:dyDescent="0.55000000000000004">
      <c r="A217" s="3">
        <v>1238911516</v>
      </c>
      <c r="B217" s="1" t="s">
        <v>14</v>
      </c>
      <c r="C217" s="6">
        <v>33511</v>
      </c>
      <c r="D217" s="6">
        <v>43340</v>
      </c>
      <c r="E217" s="6"/>
      <c r="F217" s="1" t="s">
        <v>87</v>
      </c>
      <c r="G217" s="2">
        <v>30212</v>
      </c>
      <c r="H217" s="7">
        <v>1</v>
      </c>
      <c r="I217" s="7">
        <v>1</v>
      </c>
      <c r="J217" s="7">
        <v>2</v>
      </c>
      <c r="K217" s="7">
        <v>3</v>
      </c>
      <c r="L217" s="7">
        <v>2</v>
      </c>
    </row>
    <row r="218" spans="1:12" x14ac:dyDescent="0.55000000000000004">
      <c r="A218" s="3">
        <v>1238911517</v>
      </c>
      <c r="B218" s="1" t="s">
        <v>14</v>
      </c>
      <c r="C218" s="6">
        <v>33460</v>
      </c>
      <c r="D218" s="6">
        <v>42668</v>
      </c>
      <c r="E218" s="6">
        <v>43340</v>
      </c>
      <c r="F218" s="1" t="s">
        <v>87</v>
      </c>
      <c r="G218" s="2">
        <v>30212</v>
      </c>
      <c r="H218" s="7">
        <v>1</v>
      </c>
      <c r="I218" s="7">
        <v>2</v>
      </c>
      <c r="J218" s="7">
        <v>3</v>
      </c>
      <c r="K218" s="7">
        <v>1</v>
      </c>
      <c r="L218" s="7">
        <v>1</v>
      </c>
    </row>
    <row r="219" spans="1:12" x14ac:dyDescent="0.55000000000000004">
      <c r="A219" s="3">
        <v>1238911518</v>
      </c>
      <c r="B219" s="1" t="s">
        <v>14</v>
      </c>
      <c r="C219" s="6">
        <v>33515</v>
      </c>
      <c r="D219" s="6">
        <v>44650</v>
      </c>
      <c r="E219" s="6"/>
      <c r="F219" s="1" t="s">
        <v>234</v>
      </c>
      <c r="G219" s="2">
        <v>69781.25</v>
      </c>
      <c r="H219" s="7">
        <v>2</v>
      </c>
      <c r="I219" s="7">
        <v>1</v>
      </c>
      <c r="J219" s="7">
        <v>2</v>
      </c>
      <c r="K219" s="7">
        <v>2</v>
      </c>
      <c r="L219" s="7">
        <v>3</v>
      </c>
    </row>
    <row r="220" spans="1:12" x14ac:dyDescent="0.55000000000000004">
      <c r="A220" s="3">
        <v>1238911519</v>
      </c>
      <c r="B220" s="1" t="s">
        <v>14</v>
      </c>
      <c r="C220" s="6">
        <v>33536</v>
      </c>
      <c r="D220" s="6">
        <v>42742</v>
      </c>
      <c r="E220" s="6"/>
      <c r="F220" s="1" t="s">
        <v>80</v>
      </c>
      <c r="G220" s="2">
        <v>45500</v>
      </c>
      <c r="H220" s="7">
        <v>2</v>
      </c>
      <c r="I220" s="7">
        <v>3</v>
      </c>
      <c r="J220" s="7">
        <v>2</v>
      </c>
      <c r="K220" s="7">
        <v>2</v>
      </c>
      <c r="L220" s="7">
        <v>3</v>
      </c>
    </row>
    <row r="221" spans="1:12" x14ac:dyDescent="0.55000000000000004">
      <c r="A221" s="3">
        <v>1238911523</v>
      </c>
      <c r="B221" s="1" t="s">
        <v>14</v>
      </c>
      <c r="C221" s="6">
        <v>33567</v>
      </c>
      <c r="D221" s="6">
        <v>41929</v>
      </c>
      <c r="E221" s="6"/>
      <c r="F221" s="1" t="s">
        <v>236</v>
      </c>
      <c r="G221" s="2">
        <v>73631.350000000006</v>
      </c>
      <c r="H221" s="7">
        <v>1</v>
      </c>
      <c r="I221" s="7">
        <v>2</v>
      </c>
      <c r="J221" s="7">
        <v>1</v>
      </c>
      <c r="K221" s="7">
        <v>3</v>
      </c>
      <c r="L221" s="7">
        <v>3</v>
      </c>
    </row>
    <row r="222" spans="1:12" x14ac:dyDescent="0.55000000000000004">
      <c r="A222" s="3">
        <v>1238911524</v>
      </c>
      <c r="B222" s="1" t="s">
        <v>14</v>
      </c>
      <c r="C222" s="6">
        <v>33577</v>
      </c>
      <c r="D222" s="6">
        <v>45189</v>
      </c>
      <c r="E222" s="6"/>
      <c r="F222" s="1" t="s">
        <v>237</v>
      </c>
      <c r="G222" s="2">
        <v>75946</v>
      </c>
      <c r="H222" s="7">
        <v>2</v>
      </c>
      <c r="I222" s="7">
        <v>2</v>
      </c>
      <c r="J222" s="7">
        <v>1</v>
      </c>
      <c r="K222" s="7">
        <v>3</v>
      </c>
      <c r="L222" s="7">
        <v>2</v>
      </c>
    </row>
    <row r="223" spans="1:12" x14ac:dyDescent="0.55000000000000004">
      <c r="A223" s="3">
        <v>1238911526</v>
      </c>
      <c r="B223" s="1" t="s">
        <v>14</v>
      </c>
      <c r="C223" s="6">
        <v>33597</v>
      </c>
      <c r="D223" s="6">
        <v>41896</v>
      </c>
      <c r="E223" s="6"/>
      <c r="F223" s="1" t="s">
        <v>44</v>
      </c>
      <c r="G223" s="2">
        <v>37351.25</v>
      </c>
      <c r="H223" s="7">
        <v>3</v>
      </c>
      <c r="I223" s="7">
        <v>3</v>
      </c>
      <c r="J223" s="7">
        <v>2</v>
      </c>
      <c r="K223" s="7">
        <v>2</v>
      </c>
      <c r="L223" s="7">
        <v>3</v>
      </c>
    </row>
    <row r="224" spans="1:12" x14ac:dyDescent="0.55000000000000004">
      <c r="A224" s="3">
        <v>1238911527</v>
      </c>
      <c r="B224" s="1" t="s">
        <v>14</v>
      </c>
      <c r="C224" s="6">
        <v>33693</v>
      </c>
      <c r="D224" s="6">
        <v>44818</v>
      </c>
      <c r="E224" s="6"/>
      <c r="F224" s="1" t="s">
        <v>142</v>
      </c>
      <c r="G224" s="2">
        <v>52520</v>
      </c>
      <c r="H224" s="7">
        <v>3</v>
      </c>
      <c r="I224" s="7">
        <v>3</v>
      </c>
      <c r="J224" s="7">
        <v>3</v>
      </c>
      <c r="K224" s="7">
        <v>3</v>
      </c>
      <c r="L224" s="7">
        <v>2</v>
      </c>
    </row>
    <row r="225" spans="1:12" x14ac:dyDescent="0.55000000000000004">
      <c r="A225" s="3">
        <v>1238911528</v>
      </c>
      <c r="B225" s="1" t="s">
        <v>14</v>
      </c>
      <c r="C225" s="6">
        <v>32164</v>
      </c>
      <c r="D225" s="6">
        <v>41036</v>
      </c>
      <c r="E225" s="6">
        <v>44925</v>
      </c>
      <c r="F225" s="1" t="s">
        <v>239</v>
      </c>
      <c r="G225" s="2">
        <v>105948.375</v>
      </c>
      <c r="H225" s="7">
        <v>2</v>
      </c>
      <c r="I225" s="7">
        <v>2</v>
      </c>
      <c r="J225" s="7">
        <v>3</v>
      </c>
      <c r="K225" s="7">
        <v>2</v>
      </c>
      <c r="L225" s="7">
        <v>3</v>
      </c>
    </row>
    <row r="226" spans="1:12" x14ac:dyDescent="0.55000000000000004">
      <c r="A226" s="3">
        <v>1238911533</v>
      </c>
      <c r="B226" s="1" t="s">
        <v>14</v>
      </c>
      <c r="C226" s="6">
        <v>33643</v>
      </c>
      <c r="D226" s="6">
        <v>41995</v>
      </c>
      <c r="E226" s="6"/>
      <c r="F226" s="1" t="s">
        <v>240</v>
      </c>
      <c r="G226" s="2">
        <v>87597.900000000009</v>
      </c>
      <c r="H226" s="7">
        <v>1</v>
      </c>
      <c r="I226" s="7">
        <v>3</v>
      </c>
      <c r="J226" s="7">
        <v>3</v>
      </c>
      <c r="K226" s="7">
        <v>1</v>
      </c>
      <c r="L226" s="7">
        <v>2</v>
      </c>
    </row>
    <row r="227" spans="1:12" x14ac:dyDescent="0.55000000000000004">
      <c r="A227" s="3">
        <v>1238911537</v>
      </c>
      <c r="B227" s="1" t="s">
        <v>14</v>
      </c>
      <c r="C227" s="6">
        <v>33693</v>
      </c>
      <c r="D227" s="6">
        <v>41626</v>
      </c>
      <c r="E227" s="6"/>
      <c r="F227" s="1" t="s">
        <v>242</v>
      </c>
      <c r="G227" s="2">
        <v>49296</v>
      </c>
      <c r="H227" s="7">
        <v>1</v>
      </c>
      <c r="I227" s="7">
        <v>3</v>
      </c>
      <c r="J227" s="7">
        <v>1</v>
      </c>
      <c r="K227" s="7">
        <v>2</v>
      </c>
      <c r="L227" s="7">
        <v>2</v>
      </c>
    </row>
    <row r="228" spans="1:12" x14ac:dyDescent="0.55000000000000004">
      <c r="A228" s="3">
        <v>1238911538</v>
      </c>
      <c r="B228" s="1" t="s">
        <v>14</v>
      </c>
      <c r="C228" s="6">
        <v>35078</v>
      </c>
      <c r="D228" s="6">
        <v>41626</v>
      </c>
      <c r="E228" s="6"/>
      <c r="F228" s="1" t="s">
        <v>242</v>
      </c>
      <c r="G228" s="2">
        <v>49296</v>
      </c>
      <c r="H228" s="7">
        <v>2</v>
      </c>
      <c r="I228" s="7">
        <v>1</v>
      </c>
      <c r="J228" s="7">
        <v>1</v>
      </c>
      <c r="K228" s="7">
        <v>3</v>
      </c>
      <c r="L228" s="7">
        <v>2</v>
      </c>
    </row>
    <row r="229" spans="1:12" x14ac:dyDescent="0.55000000000000004">
      <c r="A229" s="3">
        <v>1238911539</v>
      </c>
      <c r="B229" s="1" t="s">
        <v>14</v>
      </c>
      <c r="C229" s="6">
        <v>33708</v>
      </c>
      <c r="D229" s="6">
        <v>43829</v>
      </c>
      <c r="E229" s="6">
        <v>44398</v>
      </c>
      <c r="F229" s="1" t="s">
        <v>243</v>
      </c>
      <c r="G229" s="2">
        <v>77508.599999999991</v>
      </c>
      <c r="H229" s="7">
        <v>1</v>
      </c>
      <c r="I229" s="7">
        <v>1</v>
      </c>
      <c r="J229" s="7">
        <v>1</v>
      </c>
      <c r="K229" s="7">
        <v>1</v>
      </c>
      <c r="L229" s="7">
        <v>3</v>
      </c>
    </row>
    <row r="230" spans="1:12" x14ac:dyDescent="0.55000000000000004">
      <c r="A230" s="3">
        <v>1238911541</v>
      </c>
      <c r="B230" s="1" t="s">
        <v>14</v>
      </c>
      <c r="C230" s="6">
        <v>33730</v>
      </c>
      <c r="D230" s="6">
        <v>42612</v>
      </c>
      <c r="E230" s="6"/>
      <c r="F230" s="1" t="s">
        <v>96</v>
      </c>
      <c r="G230" s="2">
        <v>32292</v>
      </c>
      <c r="H230" s="7">
        <v>3</v>
      </c>
      <c r="I230" s="7">
        <v>1</v>
      </c>
      <c r="J230" s="7">
        <v>1</v>
      </c>
      <c r="K230" s="7">
        <v>2</v>
      </c>
      <c r="L230" s="7">
        <v>3</v>
      </c>
    </row>
    <row r="231" spans="1:12" x14ac:dyDescent="0.55000000000000004">
      <c r="A231" s="3">
        <v>1238911542</v>
      </c>
      <c r="B231" s="1" t="s">
        <v>14</v>
      </c>
      <c r="C231" s="6">
        <v>32780</v>
      </c>
      <c r="D231" s="6">
        <v>44130</v>
      </c>
      <c r="E231" s="6"/>
      <c r="F231" s="1" t="s">
        <v>96</v>
      </c>
      <c r="G231" s="2">
        <v>32292</v>
      </c>
      <c r="H231" s="7">
        <v>1</v>
      </c>
      <c r="I231" s="7">
        <v>1</v>
      </c>
      <c r="J231" s="7">
        <v>1</v>
      </c>
      <c r="K231" s="7">
        <v>2</v>
      </c>
      <c r="L231" s="7">
        <v>2</v>
      </c>
    </row>
    <row r="232" spans="1:12" x14ac:dyDescent="0.55000000000000004">
      <c r="A232" s="3">
        <v>1238911548</v>
      </c>
      <c r="B232" s="1" t="s">
        <v>14</v>
      </c>
      <c r="C232" s="6">
        <v>33790</v>
      </c>
      <c r="D232" s="6">
        <v>44251</v>
      </c>
      <c r="E232" s="6">
        <v>44419</v>
      </c>
      <c r="F232" s="1" t="s">
        <v>245</v>
      </c>
      <c r="G232" s="2">
        <v>80162.5</v>
      </c>
      <c r="H232" s="7">
        <v>1</v>
      </c>
      <c r="I232" s="7">
        <v>1</v>
      </c>
      <c r="J232" s="7">
        <v>2</v>
      </c>
      <c r="K232" s="7">
        <v>2</v>
      </c>
      <c r="L232" s="7">
        <v>1</v>
      </c>
    </row>
    <row r="233" spans="1:12" x14ac:dyDescent="0.55000000000000004">
      <c r="A233" s="3">
        <v>1238911550</v>
      </c>
      <c r="B233" s="1" t="s">
        <v>14</v>
      </c>
      <c r="C233" s="6">
        <v>33848</v>
      </c>
      <c r="D233" s="6">
        <v>44083</v>
      </c>
      <c r="E233" s="6"/>
      <c r="F233" s="1" t="s">
        <v>220</v>
      </c>
      <c r="G233" s="2">
        <v>94484</v>
      </c>
      <c r="H233" s="7">
        <v>1</v>
      </c>
      <c r="I233" s="7">
        <v>1</v>
      </c>
      <c r="J233" s="7">
        <v>1</v>
      </c>
      <c r="K233" s="7">
        <v>2</v>
      </c>
      <c r="L233" s="7">
        <v>2</v>
      </c>
    </row>
    <row r="234" spans="1:12" x14ac:dyDescent="0.55000000000000004">
      <c r="A234" s="3">
        <v>1238911551</v>
      </c>
      <c r="B234" s="1" t="s">
        <v>14</v>
      </c>
      <c r="C234" s="6">
        <v>34723</v>
      </c>
      <c r="D234" s="6">
        <v>44083</v>
      </c>
      <c r="E234" s="6"/>
      <c r="F234" s="1" t="s">
        <v>220</v>
      </c>
      <c r="G234" s="2">
        <v>94484</v>
      </c>
      <c r="H234" s="7">
        <v>2</v>
      </c>
      <c r="I234" s="7">
        <v>3</v>
      </c>
      <c r="J234" s="7">
        <v>3</v>
      </c>
      <c r="K234" s="7">
        <v>3</v>
      </c>
      <c r="L234" s="7">
        <v>1</v>
      </c>
    </row>
    <row r="235" spans="1:12" x14ac:dyDescent="0.55000000000000004">
      <c r="A235" s="3">
        <v>1238911552</v>
      </c>
      <c r="B235" s="1" t="s">
        <v>14</v>
      </c>
      <c r="C235" s="6">
        <v>33881</v>
      </c>
      <c r="D235" s="6">
        <v>44390</v>
      </c>
      <c r="E235" s="6"/>
      <c r="F235" s="1" t="s">
        <v>247</v>
      </c>
      <c r="G235" s="2">
        <v>43732.5</v>
      </c>
      <c r="H235" s="7">
        <v>2</v>
      </c>
      <c r="I235" s="7">
        <v>2</v>
      </c>
      <c r="J235" s="7">
        <v>2</v>
      </c>
      <c r="K235" s="7">
        <v>1</v>
      </c>
      <c r="L235" s="7">
        <v>2</v>
      </c>
    </row>
    <row r="236" spans="1:12" x14ac:dyDescent="0.55000000000000004">
      <c r="A236" s="3">
        <v>1238911557</v>
      </c>
      <c r="B236" s="1" t="s">
        <v>14</v>
      </c>
      <c r="C236" s="6">
        <v>33936</v>
      </c>
      <c r="D236" s="6">
        <v>42297</v>
      </c>
      <c r="E236" s="6"/>
      <c r="F236" s="1" t="s">
        <v>48</v>
      </c>
      <c r="G236" s="2">
        <v>61122.1</v>
      </c>
      <c r="H236" s="7">
        <v>3</v>
      </c>
      <c r="I236" s="7">
        <v>2</v>
      </c>
      <c r="J236" s="7">
        <v>2</v>
      </c>
      <c r="K236" s="7">
        <v>3</v>
      </c>
      <c r="L236" s="7">
        <v>3</v>
      </c>
    </row>
    <row r="237" spans="1:12" x14ac:dyDescent="0.55000000000000004">
      <c r="A237" s="3">
        <v>1238911559</v>
      </c>
      <c r="B237" s="1" t="s">
        <v>14</v>
      </c>
      <c r="C237" s="6">
        <v>35064</v>
      </c>
      <c r="D237" s="6">
        <v>45643</v>
      </c>
      <c r="E237" s="6"/>
      <c r="F237" s="4" t="s">
        <v>248</v>
      </c>
      <c r="G237" s="2">
        <v>68750</v>
      </c>
      <c r="H237" s="7">
        <v>2</v>
      </c>
      <c r="I237" s="7">
        <v>2</v>
      </c>
      <c r="J237" s="7">
        <v>3</v>
      </c>
      <c r="K237" s="7">
        <v>3</v>
      </c>
      <c r="L237" s="7">
        <v>2</v>
      </c>
    </row>
    <row r="238" spans="1:12" x14ac:dyDescent="0.55000000000000004">
      <c r="A238" s="3">
        <v>1238911560</v>
      </c>
      <c r="B238" s="1" t="s">
        <v>14</v>
      </c>
      <c r="C238" s="6">
        <v>33956</v>
      </c>
      <c r="D238" s="6">
        <v>42536</v>
      </c>
      <c r="E238" s="6"/>
      <c r="F238" s="1" t="s">
        <v>249</v>
      </c>
      <c r="G238" s="2">
        <v>70097.299999999988</v>
      </c>
      <c r="H238" s="7">
        <v>3</v>
      </c>
      <c r="I238" s="7">
        <v>1</v>
      </c>
      <c r="J238" s="7">
        <v>1</v>
      </c>
      <c r="K238" s="7">
        <v>2</v>
      </c>
      <c r="L238" s="7">
        <v>3</v>
      </c>
    </row>
    <row r="239" spans="1:12" x14ac:dyDescent="0.55000000000000004">
      <c r="A239" s="3">
        <v>1238911564</v>
      </c>
      <c r="B239" s="1" t="s">
        <v>14</v>
      </c>
      <c r="C239" s="6">
        <v>34094</v>
      </c>
      <c r="D239" s="6">
        <v>44014</v>
      </c>
      <c r="E239" s="6"/>
      <c r="F239" s="1" t="s">
        <v>216</v>
      </c>
      <c r="G239" s="2">
        <v>67856.25</v>
      </c>
      <c r="H239" s="7">
        <v>1</v>
      </c>
      <c r="I239" s="7">
        <v>3</v>
      </c>
      <c r="J239" s="7">
        <v>3</v>
      </c>
      <c r="K239" s="7">
        <v>2</v>
      </c>
      <c r="L239" s="7">
        <v>3</v>
      </c>
    </row>
    <row r="240" spans="1:12" x14ac:dyDescent="0.55000000000000004">
      <c r="A240" s="3">
        <v>1238911565</v>
      </c>
      <c r="B240" s="1" t="s">
        <v>14</v>
      </c>
      <c r="C240" s="6">
        <v>34099</v>
      </c>
      <c r="D240" s="6">
        <v>43473</v>
      </c>
      <c r="E240" s="6">
        <v>45189</v>
      </c>
      <c r="F240" s="1" t="s">
        <v>252</v>
      </c>
      <c r="G240" s="2">
        <v>61204</v>
      </c>
      <c r="H240" s="7">
        <v>3</v>
      </c>
      <c r="I240" s="7">
        <v>3</v>
      </c>
      <c r="J240" s="7">
        <v>2</v>
      </c>
      <c r="K240" s="7">
        <v>3</v>
      </c>
      <c r="L240" s="7">
        <v>2</v>
      </c>
    </row>
    <row r="241" spans="1:12" x14ac:dyDescent="0.55000000000000004">
      <c r="A241" s="3">
        <v>1238911568</v>
      </c>
      <c r="B241" s="1" t="s">
        <v>14</v>
      </c>
      <c r="C241" s="6">
        <v>34140</v>
      </c>
      <c r="D241" s="6">
        <v>44741</v>
      </c>
      <c r="E241" s="6"/>
      <c r="F241" s="1" t="s">
        <v>253</v>
      </c>
      <c r="G241" s="2">
        <v>75237.5</v>
      </c>
      <c r="H241" s="7">
        <v>3</v>
      </c>
      <c r="I241" s="7">
        <v>1</v>
      </c>
      <c r="J241" s="7">
        <v>1</v>
      </c>
      <c r="K241" s="7">
        <v>2</v>
      </c>
      <c r="L241" s="7">
        <v>2</v>
      </c>
    </row>
    <row r="242" spans="1:12" x14ac:dyDescent="0.55000000000000004">
      <c r="A242" s="3">
        <v>1238911569</v>
      </c>
      <c r="B242" s="1" t="s">
        <v>14</v>
      </c>
      <c r="C242" s="6">
        <v>34146</v>
      </c>
      <c r="D242" s="6">
        <v>44496</v>
      </c>
      <c r="E242" s="6"/>
      <c r="F242" s="1" t="s">
        <v>254</v>
      </c>
      <c r="G242" s="2">
        <v>56250</v>
      </c>
      <c r="H242" s="7">
        <v>2</v>
      </c>
      <c r="I242" s="7">
        <v>3</v>
      </c>
      <c r="J242" s="7">
        <v>3</v>
      </c>
      <c r="K242" s="7">
        <v>1</v>
      </c>
      <c r="L242" s="7">
        <v>3</v>
      </c>
    </row>
    <row r="243" spans="1:12" x14ac:dyDescent="0.55000000000000004">
      <c r="A243" s="3">
        <v>1238911571</v>
      </c>
      <c r="B243" s="1" t="s">
        <v>14</v>
      </c>
      <c r="C243" s="6">
        <v>34178</v>
      </c>
      <c r="D243" s="6">
        <v>42251</v>
      </c>
      <c r="E243" s="6"/>
      <c r="F243" s="1" t="s">
        <v>63</v>
      </c>
      <c r="G243" s="2">
        <v>87500</v>
      </c>
      <c r="H243" s="7">
        <v>3</v>
      </c>
      <c r="I243" s="7">
        <v>2</v>
      </c>
      <c r="J243" s="7">
        <v>3</v>
      </c>
      <c r="K243" s="7">
        <v>3</v>
      </c>
      <c r="L243" s="7">
        <v>3</v>
      </c>
    </row>
    <row r="244" spans="1:12" x14ac:dyDescent="0.55000000000000004">
      <c r="A244" s="3">
        <v>1238911572</v>
      </c>
      <c r="B244" s="1" t="s">
        <v>14</v>
      </c>
      <c r="C244" s="6">
        <v>34181</v>
      </c>
      <c r="D244" s="6">
        <v>44965</v>
      </c>
      <c r="E244" s="6"/>
      <c r="F244" s="1" t="s">
        <v>255</v>
      </c>
      <c r="G244" s="2">
        <v>68750</v>
      </c>
      <c r="H244" s="7">
        <v>3</v>
      </c>
      <c r="I244" s="7">
        <v>1</v>
      </c>
      <c r="J244" s="7">
        <v>2</v>
      </c>
      <c r="K244" s="7">
        <v>3</v>
      </c>
      <c r="L244" s="7">
        <v>3</v>
      </c>
    </row>
    <row r="245" spans="1:12" x14ac:dyDescent="0.55000000000000004">
      <c r="A245" s="3">
        <v>1238911577</v>
      </c>
      <c r="B245" s="1" t="s">
        <v>14</v>
      </c>
      <c r="C245" s="6">
        <v>34265</v>
      </c>
      <c r="D245" s="6">
        <v>42487</v>
      </c>
      <c r="E245" s="6"/>
      <c r="F245" s="1" t="s">
        <v>63</v>
      </c>
      <c r="G245" s="2">
        <v>73992.100000000006</v>
      </c>
      <c r="H245" s="7">
        <v>2</v>
      </c>
      <c r="I245" s="7">
        <v>2</v>
      </c>
      <c r="J245" s="7">
        <v>2</v>
      </c>
      <c r="K245" s="7">
        <v>3</v>
      </c>
      <c r="L245" s="7">
        <v>3</v>
      </c>
    </row>
    <row r="246" spans="1:12" x14ac:dyDescent="0.55000000000000004">
      <c r="A246" s="3">
        <v>1238911578</v>
      </c>
      <c r="B246" s="1" t="s">
        <v>14</v>
      </c>
      <c r="C246" s="6">
        <v>34284</v>
      </c>
      <c r="D246" s="6">
        <v>42648</v>
      </c>
      <c r="E246" s="6"/>
      <c r="F246" s="1" t="s">
        <v>96</v>
      </c>
      <c r="G246" s="2">
        <v>41366</v>
      </c>
      <c r="H246" s="7">
        <v>1</v>
      </c>
      <c r="I246" s="7">
        <v>1</v>
      </c>
      <c r="J246" s="7">
        <v>1</v>
      </c>
      <c r="K246" s="7">
        <v>3</v>
      </c>
      <c r="L246" s="7">
        <v>1</v>
      </c>
    </row>
    <row r="247" spans="1:12" x14ac:dyDescent="0.55000000000000004">
      <c r="A247" s="3">
        <v>1238911579</v>
      </c>
      <c r="B247" s="1" t="s">
        <v>14</v>
      </c>
      <c r="C247" s="6">
        <v>34131</v>
      </c>
      <c r="D247" s="6">
        <v>41309</v>
      </c>
      <c r="E247" s="6"/>
      <c r="F247" s="1" t="s">
        <v>96</v>
      </c>
      <c r="G247" s="2">
        <v>41366</v>
      </c>
      <c r="H247" s="7">
        <v>3</v>
      </c>
      <c r="I247" s="7">
        <v>1</v>
      </c>
      <c r="J247" s="7">
        <v>3</v>
      </c>
      <c r="K247" s="7">
        <v>2</v>
      </c>
      <c r="L247" s="7">
        <v>3</v>
      </c>
    </row>
    <row r="248" spans="1:12" x14ac:dyDescent="0.55000000000000004">
      <c r="A248" s="3">
        <v>1238911581</v>
      </c>
      <c r="B248" s="1" t="s">
        <v>14</v>
      </c>
      <c r="C248" s="6">
        <v>33993</v>
      </c>
      <c r="D248" s="6">
        <v>42403</v>
      </c>
      <c r="E248" s="6"/>
      <c r="F248" s="1" t="s">
        <v>65</v>
      </c>
      <c r="G248" s="2">
        <v>39000</v>
      </c>
      <c r="H248" s="7">
        <v>3</v>
      </c>
      <c r="I248" s="7">
        <v>2</v>
      </c>
      <c r="J248" s="7">
        <v>1</v>
      </c>
      <c r="K248" s="7">
        <v>3</v>
      </c>
      <c r="L248" s="7">
        <v>2</v>
      </c>
    </row>
    <row r="249" spans="1:12" x14ac:dyDescent="0.55000000000000004">
      <c r="A249" s="3">
        <v>1238911591</v>
      </c>
      <c r="B249" s="1" t="s">
        <v>14</v>
      </c>
      <c r="C249" s="6">
        <v>34421</v>
      </c>
      <c r="D249" s="6">
        <v>41683</v>
      </c>
      <c r="E249" s="6"/>
      <c r="F249" s="1" t="s">
        <v>266</v>
      </c>
      <c r="G249" s="2">
        <v>62998</v>
      </c>
      <c r="H249" s="7">
        <v>1</v>
      </c>
      <c r="I249" s="7">
        <v>1</v>
      </c>
      <c r="J249" s="7">
        <v>2</v>
      </c>
      <c r="K249" s="7">
        <v>2</v>
      </c>
      <c r="L249" s="7">
        <v>3</v>
      </c>
    </row>
    <row r="250" spans="1:12" x14ac:dyDescent="0.55000000000000004">
      <c r="A250" s="3">
        <v>1238911595</v>
      </c>
      <c r="B250" s="1" t="s">
        <v>14</v>
      </c>
      <c r="C250" s="6">
        <v>34516</v>
      </c>
      <c r="D250" s="6">
        <v>43000</v>
      </c>
      <c r="E250" s="6"/>
      <c r="F250" s="1" t="s">
        <v>268</v>
      </c>
      <c r="G250" s="2">
        <v>86457.8</v>
      </c>
      <c r="H250" s="7">
        <v>3</v>
      </c>
      <c r="I250" s="7">
        <v>2</v>
      </c>
      <c r="J250" s="7">
        <v>2</v>
      </c>
      <c r="K250" s="7">
        <v>1</v>
      </c>
      <c r="L250" s="7">
        <v>1</v>
      </c>
    </row>
    <row r="251" spans="1:12" x14ac:dyDescent="0.55000000000000004">
      <c r="A251" s="3">
        <v>1238911596</v>
      </c>
      <c r="B251" s="1" t="s">
        <v>14</v>
      </c>
      <c r="C251" s="6">
        <v>34540</v>
      </c>
      <c r="D251" s="6">
        <v>41216</v>
      </c>
      <c r="E251" s="6"/>
      <c r="F251" s="1" t="s">
        <v>269</v>
      </c>
      <c r="G251" s="2">
        <v>44200</v>
      </c>
      <c r="H251" s="7">
        <v>3</v>
      </c>
      <c r="I251" s="7">
        <v>1</v>
      </c>
      <c r="J251" s="7">
        <v>3</v>
      </c>
      <c r="K251" s="7">
        <v>1</v>
      </c>
      <c r="L251" s="7">
        <v>1</v>
      </c>
    </row>
    <row r="252" spans="1:12" x14ac:dyDescent="0.55000000000000004">
      <c r="A252" s="3">
        <v>1238911597</v>
      </c>
      <c r="B252" s="1" t="s">
        <v>14</v>
      </c>
      <c r="C252" s="6">
        <v>34559</v>
      </c>
      <c r="D252" s="6">
        <v>41708</v>
      </c>
      <c r="E252" s="6"/>
      <c r="F252" s="1" t="s">
        <v>270</v>
      </c>
      <c r="G252" s="2">
        <v>48735</v>
      </c>
      <c r="H252" s="7">
        <v>3</v>
      </c>
      <c r="I252" s="7">
        <v>3</v>
      </c>
      <c r="J252" s="7">
        <v>1</v>
      </c>
      <c r="K252" s="7">
        <v>1</v>
      </c>
      <c r="L252" s="7">
        <v>3</v>
      </c>
    </row>
    <row r="253" spans="1:12" x14ac:dyDescent="0.55000000000000004">
      <c r="A253" s="3">
        <v>1238911600</v>
      </c>
      <c r="B253" s="1" t="s">
        <v>14</v>
      </c>
      <c r="C253" s="6">
        <v>34644</v>
      </c>
      <c r="D253" s="6">
        <v>42569</v>
      </c>
      <c r="E253" s="6"/>
      <c r="F253" s="1" t="s">
        <v>272</v>
      </c>
      <c r="G253" s="2">
        <v>60086</v>
      </c>
      <c r="H253" s="7">
        <v>2</v>
      </c>
      <c r="I253" s="7">
        <v>3</v>
      </c>
      <c r="J253" s="7">
        <v>3</v>
      </c>
      <c r="K253" s="7">
        <v>2</v>
      </c>
      <c r="L253" s="7">
        <v>1</v>
      </c>
    </row>
    <row r="254" spans="1:12" x14ac:dyDescent="0.55000000000000004">
      <c r="A254" s="3">
        <v>1238911601</v>
      </c>
      <c r="B254" s="1" t="s">
        <v>14</v>
      </c>
      <c r="C254" s="6">
        <v>34647</v>
      </c>
      <c r="D254" s="6">
        <v>41907</v>
      </c>
      <c r="E254" s="6"/>
      <c r="F254" s="1" t="s">
        <v>273</v>
      </c>
      <c r="G254" s="2">
        <v>72386.925000000003</v>
      </c>
      <c r="H254" s="7">
        <v>3</v>
      </c>
      <c r="I254" s="7">
        <v>3</v>
      </c>
      <c r="J254" s="7">
        <v>3</v>
      </c>
      <c r="K254" s="7">
        <v>3</v>
      </c>
      <c r="L254" s="7">
        <v>2</v>
      </c>
    </row>
    <row r="255" spans="1:12" x14ac:dyDescent="0.55000000000000004">
      <c r="A255" s="3">
        <v>1238911602</v>
      </c>
      <c r="B255" s="1" t="s">
        <v>14</v>
      </c>
      <c r="C255" s="6">
        <v>34662</v>
      </c>
      <c r="D255" s="6">
        <v>42011</v>
      </c>
      <c r="E255" s="6">
        <v>45580</v>
      </c>
      <c r="F255" s="1" t="s">
        <v>274</v>
      </c>
      <c r="G255" s="2">
        <v>45214</v>
      </c>
      <c r="H255" s="7">
        <v>3</v>
      </c>
      <c r="I255" s="7">
        <v>3</v>
      </c>
      <c r="J255" s="7">
        <v>3</v>
      </c>
      <c r="K255" s="7">
        <v>2</v>
      </c>
      <c r="L255" s="7">
        <v>3</v>
      </c>
    </row>
    <row r="256" spans="1:12" x14ac:dyDescent="0.55000000000000004">
      <c r="A256" s="3">
        <v>1238911607</v>
      </c>
      <c r="B256" s="1" t="s">
        <v>14</v>
      </c>
      <c r="C256" s="6">
        <v>34733</v>
      </c>
      <c r="D256" s="6">
        <v>43970</v>
      </c>
      <c r="E256" s="6">
        <v>44680</v>
      </c>
      <c r="F256" s="1" t="s">
        <v>276</v>
      </c>
      <c r="G256" s="2">
        <v>58983.75</v>
      </c>
      <c r="H256" s="7">
        <v>1</v>
      </c>
      <c r="I256" s="7">
        <v>3</v>
      </c>
      <c r="J256" s="7">
        <v>3</v>
      </c>
      <c r="K256" s="7">
        <v>1</v>
      </c>
      <c r="L256" s="7">
        <v>2</v>
      </c>
    </row>
    <row r="257" spans="1:12" x14ac:dyDescent="0.55000000000000004">
      <c r="A257" s="3">
        <v>1238911611</v>
      </c>
      <c r="B257" s="1" t="s">
        <v>14</v>
      </c>
      <c r="C257" s="6">
        <v>34808</v>
      </c>
      <c r="D257" s="6">
        <v>42050</v>
      </c>
      <c r="E257" s="6"/>
      <c r="F257" s="1" t="s">
        <v>278</v>
      </c>
      <c r="G257" s="2">
        <v>49634</v>
      </c>
      <c r="H257" s="7">
        <v>1</v>
      </c>
      <c r="I257" s="7">
        <v>1</v>
      </c>
      <c r="J257" s="7">
        <v>2</v>
      </c>
      <c r="K257" s="7">
        <v>1</v>
      </c>
      <c r="L257" s="7">
        <v>2</v>
      </c>
    </row>
    <row r="258" spans="1:12" x14ac:dyDescent="0.55000000000000004">
      <c r="A258" s="3">
        <v>1238911612</v>
      </c>
      <c r="B258" s="1" t="s">
        <v>14</v>
      </c>
      <c r="C258" s="6">
        <v>34815</v>
      </c>
      <c r="D258" s="6">
        <v>44129</v>
      </c>
      <c r="E258" s="6">
        <v>44510</v>
      </c>
      <c r="F258" s="1" t="s">
        <v>279</v>
      </c>
      <c r="G258" s="2">
        <v>69628</v>
      </c>
      <c r="H258" s="7">
        <v>1</v>
      </c>
      <c r="I258" s="7">
        <v>3</v>
      </c>
      <c r="J258" s="7">
        <v>1</v>
      </c>
      <c r="K258" s="7">
        <v>3</v>
      </c>
      <c r="L258" s="7">
        <v>3</v>
      </c>
    </row>
    <row r="259" spans="1:12" x14ac:dyDescent="0.55000000000000004">
      <c r="A259" s="3">
        <v>1238911614</v>
      </c>
      <c r="B259" s="1" t="s">
        <v>14</v>
      </c>
      <c r="C259" s="6">
        <v>34828</v>
      </c>
      <c r="D259" s="6">
        <v>42609</v>
      </c>
      <c r="E259" s="6"/>
      <c r="F259" s="1" t="s">
        <v>25</v>
      </c>
      <c r="G259" s="2">
        <v>26572</v>
      </c>
      <c r="H259" s="7">
        <v>1</v>
      </c>
      <c r="I259" s="7">
        <v>1</v>
      </c>
      <c r="J259" s="7">
        <v>1</v>
      </c>
      <c r="K259" s="7">
        <v>1</v>
      </c>
      <c r="L259" s="7">
        <v>2</v>
      </c>
    </row>
    <row r="260" spans="1:12" x14ac:dyDescent="0.55000000000000004">
      <c r="A260" s="3">
        <v>1238911615</v>
      </c>
      <c r="B260" s="1" t="s">
        <v>14</v>
      </c>
      <c r="C260" s="6">
        <v>34872</v>
      </c>
      <c r="D260" s="6">
        <v>44947</v>
      </c>
      <c r="E260" s="6"/>
      <c r="F260" s="1" t="s">
        <v>134</v>
      </c>
      <c r="G260" s="2">
        <v>60190</v>
      </c>
      <c r="H260" s="7">
        <v>2</v>
      </c>
      <c r="I260" s="7">
        <v>2</v>
      </c>
      <c r="J260" s="7">
        <v>1</v>
      </c>
      <c r="K260" s="7">
        <v>1</v>
      </c>
      <c r="L260" s="7">
        <v>1</v>
      </c>
    </row>
    <row r="261" spans="1:12" x14ac:dyDescent="0.55000000000000004">
      <c r="A261" s="3">
        <v>1238911617</v>
      </c>
      <c r="B261" s="1" t="s">
        <v>14</v>
      </c>
      <c r="C261" s="6">
        <v>34921</v>
      </c>
      <c r="D261" s="6">
        <v>42973</v>
      </c>
      <c r="E261" s="6"/>
      <c r="F261" s="1" t="s">
        <v>23</v>
      </c>
      <c r="G261" s="2">
        <v>52500</v>
      </c>
      <c r="H261" s="7">
        <v>3</v>
      </c>
      <c r="I261" s="7">
        <v>2</v>
      </c>
      <c r="J261" s="7">
        <v>3</v>
      </c>
      <c r="K261" s="7">
        <v>3</v>
      </c>
      <c r="L261" s="7">
        <v>2</v>
      </c>
    </row>
    <row r="262" spans="1:12" x14ac:dyDescent="0.55000000000000004">
      <c r="A262" s="3">
        <v>1238911621</v>
      </c>
      <c r="B262" s="1" t="s">
        <v>14</v>
      </c>
      <c r="C262" s="6">
        <v>34939</v>
      </c>
      <c r="D262" s="6">
        <v>43651</v>
      </c>
      <c r="E262" s="6"/>
      <c r="F262" s="1" t="s">
        <v>96</v>
      </c>
      <c r="G262" s="2">
        <v>34710</v>
      </c>
      <c r="H262" s="7">
        <v>2</v>
      </c>
      <c r="I262" s="7">
        <v>1</v>
      </c>
      <c r="J262" s="7">
        <v>1</v>
      </c>
      <c r="K262" s="7">
        <v>3</v>
      </c>
      <c r="L262" s="7">
        <v>3</v>
      </c>
    </row>
    <row r="263" spans="1:12" x14ac:dyDescent="0.55000000000000004">
      <c r="A263" s="3">
        <v>1238911623</v>
      </c>
      <c r="B263" s="1" t="s">
        <v>14</v>
      </c>
      <c r="C263" s="6">
        <v>34942</v>
      </c>
      <c r="D263" s="6">
        <v>44658</v>
      </c>
      <c r="E263" s="6"/>
      <c r="F263" s="1" t="s">
        <v>114</v>
      </c>
      <c r="G263" s="2">
        <v>67500</v>
      </c>
      <c r="H263" s="7">
        <v>2</v>
      </c>
      <c r="I263" s="7">
        <v>3</v>
      </c>
      <c r="J263" s="7">
        <v>3</v>
      </c>
      <c r="K263" s="7">
        <v>1</v>
      </c>
      <c r="L263" s="7">
        <v>2</v>
      </c>
    </row>
    <row r="264" spans="1:12" x14ac:dyDescent="0.55000000000000004">
      <c r="A264" s="3">
        <v>1238911625</v>
      </c>
      <c r="B264" s="1" t="s">
        <v>14</v>
      </c>
      <c r="C264" s="6">
        <v>34951</v>
      </c>
      <c r="D264" s="6">
        <v>42795</v>
      </c>
      <c r="E264" s="6"/>
      <c r="F264" s="1" t="s">
        <v>281</v>
      </c>
      <c r="G264" s="2">
        <v>61308</v>
      </c>
      <c r="H264" s="7">
        <v>3</v>
      </c>
      <c r="I264" s="7">
        <v>3</v>
      </c>
      <c r="J264" s="7">
        <v>1</v>
      </c>
      <c r="K264" s="7">
        <v>1</v>
      </c>
      <c r="L264" s="7">
        <v>2</v>
      </c>
    </row>
    <row r="265" spans="1:12" x14ac:dyDescent="0.55000000000000004">
      <c r="A265" s="3">
        <v>1238911627</v>
      </c>
      <c r="B265" s="1" t="s">
        <v>14</v>
      </c>
      <c r="C265" s="6">
        <v>34979</v>
      </c>
      <c r="D265" s="6">
        <v>44030</v>
      </c>
      <c r="E265" s="6"/>
      <c r="F265" s="1" t="s">
        <v>282</v>
      </c>
      <c r="G265" s="2">
        <v>34008</v>
      </c>
      <c r="H265" s="7">
        <v>1</v>
      </c>
      <c r="I265" s="7">
        <v>1</v>
      </c>
      <c r="J265" s="7">
        <v>1</v>
      </c>
      <c r="K265" s="7">
        <v>1</v>
      </c>
      <c r="L265" s="7">
        <v>1</v>
      </c>
    </row>
    <row r="266" spans="1:12" x14ac:dyDescent="0.55000000000000004">
      <c r="A266" s="3">
        <v>1238911630</v>
      </c>
      <c r="B266" s="1" t="s">
        <v>14</v>
      </c>
      <c r="C266" s="6">
        <v>35029</v>
      </c>
      <c r="D266" s="6">
        <v>42183</v>
      </c>
      <c r="E266" s="6">
        <v>45784</v>
      </c>
      <c r="F266" s="1" t="s">
        <v>44</v>
      </c>
      <c r="G266" s="2">
        <v>31200</v>
      </c>
      <c r="H266" s="7">
        <v>3</v>
      </c>
      <c r="I266" s="7">
        <v>3</v>
      </c>
      <c r="J266" s="7">
        <v>1</v>
      </c>
      <c r="K266" s="7">
        <v>2</v>
      </c>
      <c r="L266" s="7">
        <v>1</v>
      </c>
    </row>
    <row r="267" spans="1:12" x14ac:dyDescent="0.55000000000000004">
      <c r="A267" s="3">
        <v>1238911635</v>
      </c>
      <c r="B267" s="1" t="s">
        <v>14</v>
      </c>
      <c r="C267" s="6">
        <v>35168</v>
      </c>
      <c r="D267" s="6">
        <v>43411</v>
      </c>
      <c r="E267" s="6">
        <v>45224</v>
      </c>
      <c r="F267" s="1" t="s">
        <v>65</v>
      </c>
      <c r="G267" s="2">
        <v>39000</v>
      </c>
      <c r="H267" s="7">
        <v>3</v>
      </c>
      <c r="I267" s="7">
        <v>3</v>
      </c>
      <c r="J267" s="7">
        <v>2</v>
      </c>
      <c r="K267" s="7">
        <v>3</v>
      </c>
      <c r="L267" s="7">
        <v>3</v>
      </c>
    </row>
    <row r="268" spans="1:12" x14ac:dyDescent="0.55000000000000004">
      <c r="A268" s="3">
        <v>1238911639</v>
      </c>
      <c r="B268" s="1" t="s">
        <v>14</v>
      </c>
      <c r="C268" s="6">
        <v>35209</v>
      </c>
      <c r="D268" s="6">
        <v>42226</v>
      </c>
      <c r="E268" s="6">
        <v>44636</v>
      </c>
      <c r="F268" s="1" t="s">
        <v>68</v>
      </c>
      <c r="G268" s="2">
        <v>57850</v>
      </c>
      <c r="H268" s="7">
        <v>1</v>
      </c>
      <c r="I268" s="7">
        <v>1</v>
      </c>
      <c r="J268" s="7">
        <v>1</v>
      </c>
      <c r="K268" s="7">
        <v>1</v>
      </c>
      <c r="L268" s="7">
        <v>2</v>
      </c>
    </row>
    <row r="269" spans="1:12" x14ac:dyDescent="0.55000000000000004">
      <c r="A269" s="3">
        <v>1238911641</v>
      </c>
      <c r="B269" s="1" t="s">
        <v>14</v>
      </c>
      <c r="C269" s="6">
        <v>35243</v>
      </c>
      <c r="D269" s="6">
        <v>42342</v>
      </c>
      <c r="E269" s="6">
        <v>44541</v>
      </c>
      <c r="F269" s="1" t="s">
        <v>172</v>
      </c>
      <c r="G269" s="2">
        <v>45084</v>
      </c>
      <c r="H269" s="7">
        <v>1</v>
      </c>
      <c r="I269" s="7">
        <v>3</v>
      </c>
      <c r="J269" s="7">
        <v>1</v>
      </c>
      <c r="K269" s="7">
        <v>3</v>
      </c>
      <c r="L269" s="7">
        <v>3</v>
      </c>
    </row>
    <row r="270" spans="1:12" x14ac:dyDescent="0.55000000000000004">
      <c r="A270" s="3">
        <v>1238911642</v>
      </c>
      <c r="B270" s="1" t="s">
        <v>14</v>
      </c>
      <c r="C270" s="6">
        <v>35124</v>
      </c>
      <c r="D270" s="6">
        <v>42342</v>
      </c>
      <c r="E270" s="6"/>
      <c r="F270" s="1" t="s">
        <v>172</v>
      </c>
      <c r="G270" s="2">
        <v>45084</v>
      </c>
      <c r="H270" s="7">
        <v>2</v>
      </c>
      <c r="I270" s="7">
        <v>3</v>
      </c>
      <c r="J270" s="7">
        <v>3</v>
      </c>
      <c r="K270" s="7">
        <v>3</v>
      </c>
      <c r="L270" s="7">
        <v>3</v>
      </c>
    </row>
    <row r="271" spans="1:12" x14ac:dyDescent="0.55000000000000004">
      <c r="A271" s="3">
        <v>1238911643</v>
      </c>
      <c r="B271" s="1" t="s">
        <v>14</v>
      </c>
      <c r="C271" s="6">
        <v>35246</v>
      </c>
      <c r="D271" s="6">
        <v>45056</v>
      </c>
      <c r="E271" s="6"/>
      <c r="F271" s="1" t="s">
        <v>48</v>
      </c>
      <c r="G271" s="2">
        <v>53025.05</v>
      </c>
      <c r="H271" s="7">
        <v>3</v>
      </c>
      <c r="I271" s="7">
        <v>2</v>
      </c>
      <c r="J271" s="7">
        <v>2</v>
      </c>
      <c r="K271" s="7">
        <v>3</v>
      </c>
      <c r="L271" s="7">
        <v>3</v>
      </c>
    </row>
    <row r="272" spans="1:12" x14ac:dyDescent="0.55000000000000004">
      <c r="A272" s="3">
        <v>1238911645</v>
      </c>
      <c r="B272" s="1" t="s">
        <v>14</v>
      </c>
      <c r="C272" s="6">
        <v>35253</v>
      </c>
      <c r="D272" s="6">
        <v>41902</v>
      </c>
      <c r="E272" s="6">
        <v>45665</v>
      </c>
      <c r="F272" s="1" t="s">
        <v>68</v>
      </c>
      <c r="G272" s="2">
        <v>55743.75</v>
      </c>
      <c r="H272" s="7">
        <v>3</v>
      </c>
      <c r="I272" s="7">
        <v>2</v>
      </c>
      <c r="J272" s="7">
        <v>2</v>
      </c>
      <c r="K272" s="7">
        <v>3</v>
      </c>
      <c r="L272" s="7">
        <v>2</v>
      </c>
    </row>
    <row r="273" spans="1:12" x14ac:dyDescent="0.55000000000000004">
      <c r="A273" s="3">
        <v>1238911648</v>
      </c>
      <c r="B273" s="1" t="s">
        <v>14</v>
      </c>
      <c r="C273" s="6">
        <v>35395</v>
      </c>
      <c r="D273" s="6">
        <v>43378</v>
      </c>
      <c r="E273" s="6">
        <v>44825</v>
      </c>
      <c r="F273" s="1" t="s">
        <v>183</v>
      </c>
      <c r="G273" s="2">
        <v>66912.5</v>
      </c>
      <c r="H273" s="7">
        <v>3</v>
      </c>
      <c r="I273" s="7">
        <v>3</v>
      </c>
      <c r="J273" s="7">
        <v>1</v>
      </c>
      <c r="K273" s="7">
        <v>2</v>
      </c>
      <c r="L273" s="7">
        <v>3</v>
      </c>
    </row>
    <row r="274" spans="1:12" x14ac:dyDescent="0.55000000000000004">
      <c r="A274" s="3">
        <v>1238911652</v>
      </c>
      <c r="B274" s="1" t="s">
        <v>14</v>
      </c>
      <c r="C274" s="6">
        <v>35483</v>
      </c>
      <c r="D274" s="6">
        <v>43517</v>
      </c>
      <c r="E274" s="6"/>
      <c r="F274" s="1" t="s">
        <v>44</v>
      </c>
      <c r="G274" s="2">
        <v>31278</v>
      </c>
      <c r="H274" s="7">
        <v>3</v>
      </c>
      <c r="I274" s="7">
        <v>1</v>
      </c>
      <c r="J274" s="7">
        <v>3</v>
      </c>
      <c r="K274" s="7">
        <v>3</v>
      </c>
      <c r="L274" s="7">
        <v>1</v>
      </c>
    </row>
    <row r="275" spans="1:12" x14ac:dyDescent="0.55000000000000004">
      <c r="A275" s="3">
        <v>1238911653</v>
      </c>
      <c r="B275" s="1" t="s">
        <v>14</v>
      </c>
      <c r="C275" s="6">
        <v>35512</v>
      </c>
      <c r="D275" s="6">
        <v>42314</v>
      </c>
      <c r="E275" s="6"/>
      <c r="F275" s="1" t="s">
        <v>247</v>
      </c>
      <c r="G275" s="2">
        <v>42900</v>
      </c>
      <c r="H275" s="7">
        <v>3</v>
      </c>
      <c r="I275" s="7">
        <v>1</v>
      </c>
      <c r="J275" s="7">
        <v>2</v>
      </c>
      <c r="K275" s="7">
        <v>2</v>
      </c>
      <c r="L275" s="7">
        <v>1</v>
      </c>
    </row>
    <row r="276" spans="1:12" x14ac:dyDescent="0.55000000000000004">
      <c r="A276" s="3">
        <v>1238911654</v>
      </c>
      <c r="B276" s="1" t="s">
        <v>14</v>
      </c>
      <c r="C276" s="6">
        <v>35526</v>
      </c>
      <c r="D276" s="6">
        <v>44819</v>
      </c>
      <c r="E276" s="6"/>
      <c r="F276" s="1" t="s">
        <v>25</v>
      </c>
      <c r="G276" s="2">
        <v>26520</v>
      </c>
      <c r="H276" s="7">
        <v>2</v>
      </c>
      <c r="I276" s="7">
        <v>2</v>
      </c>
      <c r="J276" s="7">
        <v>2</v>
      </c>
      <c r="K276" s="7">
        <v>2</v>
      </c>
      <c r="L276" s="7">
        <v>2</v>
      </c>
    </row>
    <row r="277" spans="1:12" x14ac:dyDescent="0.55000000000000004">
      <c r="A277" s="3">
        <v>1238911657</v>
      </c>
      <c r="B277" s="1" t="s">
        <v>14</v>
      </c>
      <c r="C277" s="6">
        <v>35609</v>
      </c>
      <c r="D277" s="6">
        <v>42801</v>
      </c>
      <c r="E277" s="6"/>
      <c r="F277" s="1" t="s">
        <v>44</v>
      </c>
      <c r="G277" s="2">
        <v>31200</v>
      </c>
      <c r="H277" s="7">
        <v>3</v>
      </c>
      <c r="I277" s="7">
        <v>1</v>
      </c>
      <c r="J277" s="7">
        <v>2</v>
      </c>
      <c r="K277" s="7">
        <v>1</v>
      </c>
      <c r="L277" s="7">
        <v>2</v>
      </c>
    </row>
    <row r="278" spans="1:12" x14ac:dyDescent="0.55000000000000004">
      <c r="A278" s="3">
        <v>1238911658</v>
      </c>
      <c r="B278" s="1" t="s">
        <v>14</v>
      </c>
      <c r="C278" s="6">
        <v>35658</v>
      </c>
      <c r="D278" s="6">
        <v>45016</v>
      </c>
      <c r="E278" s="6">
        <v>45203</v>
      </c>
      <c r="F278" s="1" t="s">
        <v>289</v>
      </c>
      <c r="G278" s="2">
        <v>68744</v>
      </c>
      <c r="H278" s="7">
        <v>1</v>
      </c>
      <c r="I278" s="7">
        <v>2</v>
      </c>
      <c r="J278" s="7">
        <v>3</v>
      </c>
      <c r="K278" s="7">
        <v>1</v>
      </c>
      <c r="L278" s="7">
        <v>3</v>
      </c>
    </row>
    <row r="279" spans="1:12" x14ac:dyDescent="0.55000000000000004">
      <c r="A279" s="3">
        <v>1238911660</v>
      </c>
      <c r="B279" s="1" t="s">
        <v>14</v>
      </c>
      <c r="C279" s="6">
        <v>35642</v>
      </c>
      <c r="D279" s="6">
        <v>43869</v>
      </c>
      <c r="E279" s="6"/>
      <c r="F279" s="1" t="s">
        <v>81</v>
      </c>
      <c r="G279" s="2">
        <v>31486.25</v>
      </c>
      <c r="H279" s="7">
        <v>3</v>
      </c>
      <c r="I279" s="7">
        <v>1</v>
      </c>
      <c r="J279" s="7">
        <v>1</v>
      </c>
      <c r="K279" s="7">
        <v>1</v>
      </c>
      <c r="L279" s="7">
        <v>3</v>
      </c>
    </row>
    <row r="280" spans="1:12" x14ac:dyDescent="0.55000000000000004">
      <c r="A280" s="3">
        <v>1238911661</v>
      </c>
      <c r="B280" s="1" t="s">
        <v>14</v>
      </c>
      <c r="C280" s="6">
        <v>35717</v>
      </c>
      <c r="D280" s="6">
        <v>44570</v>
      </c>
      <c r="E280" s="6"/>
      <c r="F280" s="1" t="s">
        <v>290</v>
      </c>
      <c r="G280" s="2">
        <v>70125</v>
      </c>
      <c r="H280" s="7">
        <v>2</v>
      </c>
      <c r="I280" s="7">
        <v>1</v>
      </c>
      <c r="J280" s="7">
        <v>2</v>
      </c>
      <c r="K280" s="7">
        <v>1</v>
      </c>
      <c r="L280" s="7">
        <v>1</v>
      </c>
    </row>
    <row r="281" spans="1:12" x14ac:dyDescent="0.55000000000000004">
      <c r="A281" s="3">
        <v>1238911662</v>
      </c>
      <c r="B281" s="1" t="s">
        <v>14</v>
      </c>
      <c r="C281" s="6">
        <v>35583</v>
      </c>
      <c r="D281" s="6">
        <v>42642</v>
      </c>
      <c r="E281" s="6">
        <v>44958</v>
      </c>
      <c r="F281" s="1" t="s">
        <v>280</v>
      </c>
      <c r="G281" s="2">
        <v>51506</v>
      </c>
      <c r="H281" s="7">
        <v>2</v>
      </c>
      <c r="I281" s="7">
        <v>3</v>
      </c>
      <c r="J281" s="7">
        <v>1</v>
      </c>
      <c r="K281" s="7">
        <v>3</v>
      </c>
      <c r="L281" s="7">
        <v>3</v>
      </c>
    </row>
    <row r="282" spans="1:12" x14ac:dyDescent="0.55000000000000004">
      <c r="A282" s="3">
        <v>1238911664</v>
      </c>
      <c r="B282" s="1" t="s">
        <v>14</v>
      </c>
      <c r="C282" s="6">
        <v>35428</v>
      </c>
      <c r="D282" s="6">
        <v>44807</v>
      </c>
      <c r="E282" s="6"/>
      <c r="F282" s="1" t="s">
        <v>134</v>
      </c>
      <c r="G282" s="2">
        <v>63908</v>
      </c>
      <c r="H282" s="7">
        <v>2</v>
      </c>
      <c r="I282" s="7">
        <v>2</v>
      </c>
      <c r="J282" s="7">
        <v>1</v>
      </c>
      <c r="K282" s="7">
        <v>2</v>
      </c>
      <c r="L282" s="7">
        <v>2</v>
      </c>
    </row>
    <row r="283" spans="1:12" x14ac:dyDescent="0.55000000000000004">
      <c r="A283" s="3">
        <v>1238911665</v>
      </c>
      <c r="B283" s="1" t="s">
        <v>14</v>
      </c>
      <c r="C283" s="6">
        <v>35745</v>
      </c>
      <c r="D283" s="6">
        <v>44373</v>
      </c>
      <c r="E283" s="6"/>
      <c r="F283" s="1" t="s">
        <v>289</v>
      </c>
      <c r="G283" s="2">
        <v>68536</v>
      </c>
      <c r="H283" s="7">
        <v>2</v>
      </c>
      <c r="I283" s="7">
        <v>1</v>
      </c>
      <c r="J283" s="7">
        <v>2</v>
      </c>
      <c r="K283" s="7">
        <v>1</v>
      </c>
      <c r="L283" s="7">
        <v>2</v>
      </c>
    </row>
    <row r="284" spans="1:12" x14ac:dyDescent="0.55000000000000004">
      <c r="A284" s="3">
        <v>1238911666</v>
      </c>
      <c r="B284" s="1" t="s">
        <v>14</v>
      </c>
      <c r="C284" s="6">
        <v>35763</v>
      </c>
      <c r="D284" s="6">
        <v>44399</v>
      </c>
      <c r="E284" s="6"/>
      <c r="F284" s="1" t="s">
        <v>44</v>
      </c>
      <c r="G284" s="2">
        <v>29822</v>
      </c>
      <c r="H284" s="7">
        <v>2</v>
      </c>
      <c r="I284" s="7">
        <v>3</v>
      </c>
      <c r="J284" s="7">
        <v>3</v>
      </c>
      <c r="K284" s="7">
        <v>2</v>
      </c>
      <c r="L284" s="7">
        <v>3</v>
      </c>
    </row>
    <row r="285" spans="1:12" x14ac:dyDescent="0.55000000000000004">
      <c r="A285" s="3">
        <v>1238911667</v>
      </c>
      <c r="B285" s="1" t="s">
        <v>14</v>
      </c>
      <c r="C285" s="6">
        <v>35509</v>
      </c>
      <c r="D285" s="6">
        <v>44822</v>
      </c>
      <c r="E285" s="6"/>
      <c r="F285" s="1" t="s">
        <v>134</v>
      </c>
      <c r="G285" s="2">
        <v>62500</v>
      </c>
      <c r="H285" s="7">
        <v>3</v>
      </c>
      <c r="I285" s="7">
        <v>3</v>
      </c>
      <c r="J285" s="7">
        <v>1</v>
      </c>
      <c r="K285" s="7">
        <v>1</v>
      </c>
      <c r="L285" s="7">
        <v>3</v>
      </c>
    </row>
    <row r="286" spans="1:12" x14ac:dyDescent="0.55000000000000004">
      <c r="A286" s="3">
        <v>1238911671</v>
      </c>
      <c r="B286" s="1" t="s">
        <v>14</v>
      </c>
      <c r="C286" s="6">
        <v>35960</v>
      </c>
      <c r="D286" s="6">
        <v>44393</v>
      </c>
      <c r="E286" s="6">
        <v>44919</v>
      </c>
      <c r="F286" s="1" t="s">
        <v>292</v>
      </c>
      <c r="G286" s="2">
        <v>52000</v>
      </c>
      <c r="H286" s="7">
        <v>2</v>
      </c>
      <c r="I286" s="7">
        <v>3</v>
      </c>
      <c r="J286" s="7">
        <v>3</v>
      </c>
      <c r="K286" s="7">
        <v>1</v>
      </c>
      <c r="L286" s="7">
        <v>1</v>
      </c>
    </row>
    <row r="287" spans="1:12" x14ac:dyDescent="0.55000000000000004">
      <c r="A287" s="3">
        <v>1238911672</v>
      </c>
      <c r="B287" s="1" t="s">
        <v>14</v>
      </c>
      <c r="C287" s="6">
        <v>35989</v>
      </c>
      <c r="D287" s="6">
        <v>45089</v>
      </c>
      <c r="E287" s="6"/>
      <c r="F287" s="1" t="s">
        <v>134</v>
      </c>
      <c r="G287" s="2">
        <v>62500</v>
      </c>
      <c r="H287" s="7">
        <v>3</v>
      </c>
      <c r="I287" s="7">
        <v>1</v>
      </c>
      <c r="J287" s="7">
        <v>2</v>
      </c>
      <c r="K287" s="7">
        <v>2</v>
      </c>
      <c r="L287" s="7">
        <v>2</v>
      </c>
    </row>
    <row r="288" spans="1:12" x14ac:dyDescent="0.55000000000000004">
      <c r="A288" s="3">
        <v>1238911674</v>
      </c>
      <c r="B288" s="1" t="s">
        <v>14</v>
      </c>
      <c r="C288" s="6">
        <v>36038</v>
      </c>
      <c r="D288" s="6">
        <v>44651</v>
      </c>
      <c r="E288" s="6"/>
      <c r="F288" s="1" t="s">
        <v>293</v>
      </c>
      <c r="G288" s="2">
        <v>33384</v>
      </c>
      <c r="H288" s="7">
        <v>3</v>
      </c>
      <c r="I288" s="7">
        <v>1</v>
      </c>
      <c r="J288" s="7">
        <v>2</v>
      </c>
      <c r="K288" s="7">
        <v>1</v>
      </c>
      <c r="L288" s="7">
        <v>3</v>
      </c>
    </row>
    <row r="289" spans="1:12" x14ac:dyDescent="0.55000000000000004">
      <c r="A289" s="3">
        <v>1238911675</v>
      </c>
      <c r="B289" s="1" t="s">
        <v>14</v>
      </c>
      <c r="C289" s="6">
        <v>36107</v>
      </c>
      <c r="D289" s="6">
        <v>43668</v>
      </c>
      <c r="E289" s="6">
        <v>44651</v>
      </c>
      <c r="F289" s="1" t="s">
        <v>293</v>
      </c>
      <c r="G289" s="2">
        <v>33384</v>
      </c>
      <c r="H289" s="7">
        <v>2</v>
      </c>
      <c r="I289" s="7">
        <v>2</v>
      </c>
      <c r="J289" s="7">
        <v>2</v>
      </c>
      <c r="K289" s="7">
        <v>2</v>
      </c>
      <c r="L289" s="7">
        <v>2</v>
      </c>
    </row>
    <row r="290" spans="1:12" x14ac:dyDescent="0.55000000000000004">
      <c r="A290" s="3">
        <v>1238911680</v>
      </c>
      <c r="B290" s="1" t="s">
        <v>14</v>
      </c>
      <c r="C290" s="6">
        <v>34713</v>
      </c>
      <c r="D290" s="6">
        <v>45553</v>
      </c>
      <c r="E290" s="6"/>
      <c r="F290" s="1" t="s">
        <v>185</v>
      </c>
      <c r="G290" s="2">
        <v>68744</v>
      </c>
      <c r="H290" s="7">
        <v>1</v>
      </c>
      <c r="I290" s="7">
        <v>3</v>
      </c>
      <c r="J290" s="7">
        <v>3</v>
      </c>
      <c r="K290" s="7">
        <v>3</v>
      </c>
      <c r="L290" s="7">
        <v>2</v>
      </c>
    </row>
    <row r="291" spans="1:12" x14ac:dyDescent="0.55000000000000004">
      <c r="A291" s="3">
        <v>1238911681</v>
      </c>
      <c r="B291" s="1" t="s">
        <v>14</v>
      </c>
      <c r="C291" s="6">
        <v>36192</v>
      </c>
      <c r="D291" s="6">
        <v>43454</v>
      </c>
      <c r="E291" s="6">
        <v>45105</v>
      </c>
      <c r="F291" s="1" t="s">
        <v>191</v>
      </c>
      <c r="G291" s="2">
        <v>50076</v>
      </c>
      <c r="H291" s="7">
        <v>2</v>
      </c>
      <c r="I291" s="7">
        <v>1</v>
      </c>
      <c r="J291" s="7">
        <v>1</v>
      </c>
      <c r="K291" s="7">
        <v>3</v>
      </c>
      <c r="L291" s="7">
        <v>3</v>
      </c>
    </row>
    <row r="292" spans="1:12" x14ac:dyDescent="0.55000000000000004">
      <c r="A292" s="3">
        <v>1238911682</v>
      </c>
      <c r="B292" s="1" t="s">
        <v>14</v>
      </c>
      <c r="C292" s="6">
        <v>36515</v>
      </c>
      <c r="D292" s="6">
        <v>43804</v>
      </c>
      <c r="E292" s="6"/>
      <c r="F292" s="1" t="s">
        <v>191</v>
      </c>
      <c r="G292" s="2">
        <v>50076</v>
      </c>
      <c r="H292" s="7">
        <v>1</v>
      </c>
      <c r="I292" s="7">
        <v>2</v>
      </c>
      <c r="J292" s="7">
        <v>2</v>
      </c>
      <c r="K292" s="7">
        <v>2</v>
      </c>
      <c r="L292" s="7">
        <v>1</v>
      </c>
    </row>
    <row r="293" spans="1:12" x14ac:dyDescent="0.55000000000000004">
      <c r="A293" s="3">
        <v>1238911684</v>
      </c>
      <c r="B293" s="1" t="s">
        <v>14</v>
      </c>
      <c r="C293" s="6">
        <v>36494</v>
      </c>
      <c r="D293" s="6">
        <v>44756</v>
      </c>
      <c r="E293" s="6"/>
      <c r="F293" s="1" t="s">
        <v>270</v>
      </c>
      <c r="G293" s="2">
        <v>44200</v>
      </c>
      <c r="H293" s="7">
        <v>3</v>
      </c>
      <c r="I293" s="7">
        <v>2</v>
      </c>
      <c r="J293" s="7">
        <v>2</v>
      </c>
      <c r="K293" s="7">
        <v>1</v>
      </c>
      <c r="L293" s="7">
        <v>2</v>
      </c>
    </row>
    <row r="294" spans="1:12" x14ac:dyDescent="0.55000000000000004">
      <c r="A294" s="3">
        <v>1238911688</v>
      </c>
      <c r="B294" s="1" t="s">
        <v>14</v>
      </c>
      <c r="C294" s="6">
        <v>36320</v>
      </c>
      <c r="D294" s="6">
        <v>43306</v>
      </c>
      <c r="E294" s="6"/>
      <c r="F294" s="1" t="s">
        <v>134</v>
      </c>
      <c r="G294" s="2">
        <v>54834</v>
      </c>
      <c r="H294" s="7">
        <v>3</v>
      </c>
      <c r="I294" s="7">
        <v>1</v>
      </c>
      <c r="J294" s="7">
        <v>1</v>
      </c>
      <c r="K294" s="7">
        <v>1</v>
      </c>
      <c r="L294" s="7">
        <v>3</v>
      </c>
    </row>
    <row r="295" spans="1:12" x14ac:dyDescent="0.55000000000000004">
      <c r="A295" s="3">
        <v>1238911694</v>
      </c>
      <c r="B295" s="1" t="s">
        <v>14</v>
      </c>
      <c r="C295" s="6">
        <v>36369</v>
      </c>
      <c r="D295" s="6">
        <v>43920</v>
      </c>
      <c r="E295" s="6">
        <v>44132</v>
      </c>
      <c r="F295" s="1" t="s">
        <v>58</v>
      </c>
      <c r="G295" s="2">
        <v>32448</v>
      </c>
      <c r="H295" s="7">
        <v>3</v>
      </c>
      <c r="I295" s="7">
        <v>2</v>
      </c>
      <c r="J295" s="7">
        <v>2</v>
      </c>
      <c r="K295" s="7">
        <v>2</v>
      </c>
      <c r="L295" s="7">
        <v>3</v>
      </c>
    </row>
    <row r="296" spans="1:12" x14ac:dyDescent="0.55000000000000004">
      <c r="A296" s="3">
        <v>1238911696</v>
      </c>
      <c r="B296" s="1" t="s">
        <v>14</v>
      </c>
      <c r="C296" s="6">
        <v>36336</v>
      </c>
      <c r="D296" s="6">
        <v>44379</v>
      </c>
      <c r="E296" s="6"/>
      <c r="F296" s="1" t="s">
        <v>44</v>
      </c>
      <c r="G296" s="2">
        <v>31200</v>
      </c>
      <c r="H296" s="7">
        <v>3</v>
      </c>
      <c r="I296" s="7">
        <v>2</v>
      </c>
      <c r="J296" s="7">
        <v>1</v>
      </c>
      <c r="K296" s="7">
        <v>3</v>
      </c>
      <c r="L296" s="7">
        <v>3</v>
      </c>
    </row>
    <row r="297" spans="1:12" x14ac:dyDescent="0.55000000000000004">
      <c r="A297" s="3">
        <v>1238911699</v>
      </c>
      <c r="B297" s="1" t="s">
        <v>14</v>
      </c>
      <c r="C297" s="6">
        <v>34236</v>
      </c>
      <c r="D297" s="6">
        <v>43789</v>
      </c>
      <c r="E297" s="6"/>
      <c r="F297" s="1" t="s">
        <v>302</v>
      </c>
      <c r="G297" s="2">
        <v>60461.25</v>
      </c>
      <c r="H297" s="7">
        <v>1</v>
      </c>
      <c r="I297" s="7">
        <v>1</v>
      </c>
      <c r="J297" s="7">
        <v>1</v>
      </c>
      <c r="K297" s="7">
        <v>1</v>
      </c>
      <c r="L297" s="7">
        <v>3</v>
      </c>
    </row>
    <row r="298" spans="1:12" x14ac:dyDescent="0.55000000000000004">
      <c r="A298" s="3">
        <v>1238911701</v>
      </c>
      <c r="B298" s="1" t="s">
        <v>14</v>
      </c>
      <c r="C298" s="6">
        <v>36460</v>
      </c>
      <c r="D298" s="6">
        <v>44269</v>
      </c>
      <c r="E298" s="6"/>
      <c r="F298" s="1" t="s">
        <v>25</v>
      </c>
      <c r="G298" s="2">
        <v>26520</v>
      </c>
      <c r="H298" s="7">
        <v>3</v>
      </c>
      <c r="I298" s="7">
        <v>1</v>
      </c>
      <c r="J298" s="7">
        <v>2</v>
      </c>
      <c r="K298" s="7">
        <v>2</v>
      </c>
      <c r="L298" s="7">
        <v>1</v>
      </c>
    </row>
    <row r="299" spans="1:12" x14ac:dyDescent="0.55000000000000004">
      <c r="A299" s="3">
        <v>1238911704</v>
      </c>
      <c r="B299" s="1" t="s">
        <v>14</v>
      </c>
      <c r="C299" s="6">
        <v>36519</v>
      </c>
      <c r="D299" s="6">
        <v>44351</v>
      </c>
      <c r="E299" s="6"/>
      <c r="F299" s="1" t="s">
        <v>304</v>
      </c>
      <c r="G299" s="2">
        <v>46253.75</v>
      </c>
      <c r="H299" s="7">
        <v>3</v>
      </c>
      <c r="I299" s="7">
        <v>1</v>
      </c>
      <c r="J299" s="7">
        <v>2</v>
      </c>
      <c r="K299" s="7">
        <v>3</v>
      </c>
      <c r="L299" s="7">
        <v>1</v>
      </c>
    </row>
    <row r="300" spans="1:12" x14ac:dyDescent="0.55000000000000004">
      <c r="A300" s="3">
        <v>1238911705</v>
      </c>
      <c r="B300" s="1" t="s">
        <v>14</v>
      </c>
      <c r="C300" s="6">
        <v>36547</v>
      </c>
      <c r="D300" s="6">
        <v>44732</v>
      </c>
      <c r="E300" s="6">
        <v>45826</v>
      </c>
      <c r="F300" s="1" t="s">
        <v>305</v>
      </c>
      <c r="G300" s="2">
        <v>39000</v>
      </c>
      <c r="H300" s="7">
        <v>1</v>
      </c>
      <c r="I300" s="7">
        <v>1</v>
      </c>
      <c r="J300" s="7">
        <v>2</v>
      </c>
      <c r="K300" s="7">
        <v>2</v>
      </c>
      <c r="L300" s="7">
        <v>3</v>
      </c>
    </row>
    <row r="301" spans="1:12" x14ac:dyDescent="0.55000000000000004">
      <c r="A301" s="3">
        <v>1238911708</v>
      </c>
      <c r="B301" s="1" t="s">
        <v>14</v>
      </c>
      <c r="C301" s="6">
        <v>36712</v>
      </c>
      <c r="D301" s="6">
        <v>45616</v>
      </c>
      <c r="E301" s="6"/>
      <c r="F301" s="1" t="s">
        <v>307</v>
      </c>
      <c r="G301" s="2">
        <v>49400</v>
      </c>
      <c r="H301" s="7">
        <v>2</v>
      </c>
      <c r="I301" s="7">
        <v>2</v>
      </c>
      <c r="J301" s="7">
        <v>3</v>
      </c>
      <c r="K301" s="7">
        <v>3</v>
      </c>
      <c r="L301" s="7">
        <v>1</v>
      </c>
    </row>
    <row r="302" spans="1:12" x14ac:dyDescent="0.55000000000000004">
      <c r="A302" s="3">
        <v>1238911709</v>
      </c>
      <c r="B302" s="1" t="s">
        <v>14</v>
      </c>
      <c r="C302" s="6">
        <v>34416</v>
      </c>
      <c r="D302" s="6">
        <v>43765</v>
      </c>
      <c r="E302" s="6">
        <v>44626</v>
      </c>
      <c r="F302" s="1" t="s">
        <v>63</v>
      </c>
      <c r="G302" s="2">
        <v>75000</v>
      </c>
      <c r="H302" s="7">
        <v>2</v>
      </c>
      <c r="I302" s="7">
        <v>2</v>
      </c>
      <c r="J302" s="7">
        <v>2</v>
      </c>
      <c r="K302" s="7">
        <v>3</v>
      </c>
      <c r="L302" s="7">
        <v>2</v>
      </c>
    </row>
    <row r="303" spans="1:12" x14ac:dyDescent="0.55000000000000004">
      <c r="A303" s="3">
        <v>1238911713</v>
      </c>
      <c r="B303" s="1" t="s">
        <v>14</v>
      </c>
      <c r="C303" s="6">
        <v>36845</v>
      </c>
      <c r="D303" s="6">
        <v>45052</v>
      </c>
      <c r="E303" s="6"/>
      <c r="F303" s="1" t="s">
        <v>68</v>
      </c>
      <c r="G303" s="2">
        <v>54054</v>
      </c>
      <c r="H303" s="7">
        <v>3</v>
      </c>
      <c r="I303" s="7">
        <v>2</v>
      </c>
      <c r="J303" s="7">
        <v>1</v>
      </c>
      <c r="K303" s="7">
        <v>2</v>
      </c>
      <c r="L303" s="7">
        <v>1</v>
      </c>
    </row>
    <row r="304" spans="1:12" x14ac:dyDescent="0.55000000000000004">
      <c r="A304" s="3">
        <v>1238911714</v>
      </c>
      <c r="B304" s="1" t="s">
        <v>14</v>
      </c>
      <c r="C304" s="6">
        <v>35337</v>
      </c>
      <c r="D304" s="6">
        <v>43872</v>
      </c>
      <c r="E304" s="6">
        <v>44818</v>
      </c>
      <c r="F304" s="1" t="s">
        <v>96</v>
      </c>
      <c r="G304" s="2">
        <v>31303.75</v>
      </c>
      <c r="H304" s="7">
        <v>2</v>
      </c>
      <c r="I304" s="7">
        <v>2</v>
      </c>
      <c r="J304" s="7">
        <v>3</v>
      </c>
      <c r="K304" s="7">
        <v>3</v>
      </c>
      <c r="L304" s="7">
        <v>3</v>
      </c>
    </row>
    <row r="305" spans="1:12" x14ac:dyDescent="0.55000000000000004">
      <c r="A305" s="3">
        <v>1238911715</v>
      </c>
      <c r="B305" s="1" t="s">
        <v>14</v>
      </c>
      <c r="C305" s="6">
        <v>36847</v>
      </c>
      <c r="D305" s="6">
        <v>44867</v>
      </c>
      <c r="E305" s="6">
        <v>44981</v>
      </c>
      <c r="F305" s="1" t="s">
        <v>285</v>
      </c>
      <c r="G305" s="2">
        <v>31200</v>
      </c>
      <c r="H305" s="7">
        <v>2</v>
      </c>
      <c r="I305" s="7">
        <v>2</v>
      </c>
      <c r="J305" s="7">
        <v>2</v>
      </c>
      <c r="K305" s="7">
        <v>3</v>
      </c>
      <c r="L305" s="7">
        <v>1</v>
      </c>
    </row>
    <row r="306" spans="1:12" x14ac:dyDescent="0.55000000000000004">
      <c r="A306" s="3">
        <v>1238911716</v>
      </c>
      <c r="B306" s="1" t="s">
        <v>14</v>
      </c>
      <c r="C306" s="6">
        <v>36910</v>
      </c>
      <c r="D306" s="6">
        <v>43874</v>
      </c>
      <c r="E306" s="6">
        <v>45707</v>
      </c>
      <c r="F306" s="1" t="s">
        <v>309</v>
      </c>
      <c r="G306" s="2">
        <v>55717.5</v>
      </c>
      <c r="H306" s="7">
        <v>3</v>
      </c>
      <c r="I306" s="7">
        <v>1</v>
      </c>
      <c r="J306" s="7">
        <v>2</v>
      </c>
      <c r="K306" s="7">
        <v>3</v>
      </c>
      <c r="L306" s="7">
        <v>1</v>
      </c>
    </row>
    <row r="307" spans="1:12" x14ac:dyDescent="0.55000000000000004">
      <c r="A307" s="3">
        <v>1238911718</v>
      </c>
      <c r="B307" s="1" t="s">
        <v>14</v>
      </c>
      <c r="C307" s="6">
        <v>37006</v>
      </c>
      <c r="D307" s="6">
        <v>45583</v>
      </c>
      <c r="E307" s="6"/>
      <c r="F307" s="1" t="s">
        <v>289</v>
      </c>
      <c r="G307" s="2">
        <v>57500</v>
      </c>
      <c r="H307" s="7">
        <v>2</v>
      </c>
      <c r="I307" s="7">
        <v>3</v>
      </c>
      <c r="J307" s="7">
        <v>1</v>
      </c>
      <c r="K307" s="7">
        <v>1</v>
      </c>
      <c r="L307" s="7">
        <v>2</v>
      </c>
    </row>
    <row r="308" spans="1:12" x14ac:dyDescent="0.55000000000000004">
      <c r="A308" s="3">
        <v>1238911720</v>
      </c>
      <c r="B308" s="1" t="s">
        <v>14</v>
      </c>
      <c r="C308" s="6">
        <v>36049</v>
      </c>
      <c r="D308" s="6">
        <v>45414</v>
      </c>
      <c r="E308" s="6"/>
      <c r="F308" s="1" t="s">
        <v>312</v>
      </c>
      <c r="G308" s="2">
        <v>50023.75</v>
      </c>
      <c r="H308" s="7">
        <v>3</v>
      </c>
      <c r="I308" s="7">
        <v>1</v>
      </c>
      <c r="J308" s="7">
        <v>3</v>
      </c>
      <c r="K308" s="7">
        <v>1</v>
      </c>
      <c r="L308" s="7">
        <v>2</v>
      </c>
    </row>
    <row r="309" spans="1:12" x14ac:dyDescent="0.55000000000000004">
      <c r="A309" s="3">
        <v>1238911723</v>
      </c>
      <c r="B309" s="1" t="s">
        <v>14</v>
      </c>
      <c r="C309" s="6">
        <v>37190</v>
      </c>
      <c r="D309" s="6">
        <v>44305</v>
      </c>
      <c r="E309" s="6">
        <v>45238</v>
      </c>
      <c r="F309" s="1" t="s">
        <v>313</v>
      </c>
      <c r="G309" s="2">
        <v>53820</v>
      </c>
      <c r="H309" s="7">
        <v>1</v>
      </c>
      <c r="I309" s="7">
        <v>3</v>
      </c>
      <c r="J309" s="7">
        <v>1</v>
      </c>
      <c r="K309" s="7">
        <v>2</v>
      </c>
      <c r="L309" s="7">
        <v>1</v>
      </c>
    </row>
    <row r="310" spans="1:12" x14ac:dyDescent="0.55000000000000004">
      <c r="A310" s="3">
        <v>1238911725</v>
      </c>
      <c r="B310" s="1" t="s">
        <v>14</v>
      </c>
      <c r="C310" s="6">
        <v>37264</v>
      </c>
      <c r="D310" s="6">
        <v>45590</v>
      </c>
      <c r="E310" s="6">
        <v>45770</v>
      </c>
      <c r="F310" s="1" t="s">
        <v>269</v>
      </c>
      <c r="G310" s="2">
        <v>44200</v>
      </c>
      <c r="H310" s="7">
        <v>2</v>
      </c>
      <c r="I310" s="7">
        <v>2</v>
      </c>
      <c r="J310" s="7">
        <v>1</v>
      </c>
      <c r="K310" s="7">
        <v>2</v>
      </c>
      <c r="L310" s="7">
        <v>2</v>
      </c>
    </row>
    <row r="311" spans="1:12" x14ac:dyDescent="0.55000000000000004">
      <c r="A311" s="3">
        <v>1238911726</v>
      </c>
      <c r="B311" s="1" t="s">
        <v>14</v>
      </c>
      <c r="C311" s="6">
        <v>36169</v>
      </c>
      <c r="D311" s="6">
        <v>43522</v>
      </c>
      <c r="E311" s="6"/>
      <c r="F311" s="1" t="s">
        <v>315</v>
      </c>
      <c r="G311" s="2">
        <v>42900</v>
      </c>
      <c r="H311" s="7">
        <v>3</v>
      </c>
      <c r="I311" s="7">
        <v>1</v>
      </c>
      <c r="J311" s="7">
        <v>3</v>
      </c>
      <c r="K311" s="7">
        <v>2</v>
      </c>
      <c r="L311" s="7">
        <v>2</v>
      </c>
    </row>
    <row r="312" spans="1:12" x14ac:dyDescent="0.55000000000000004">
      <c r="A312" s="3">
        <v>1238911727</v>
      </c>
      <c r="B312" s="1" t="s">
        <v>14</v>
      </c>
      <c r="C312" s="6">
        <v>37290</v>
      </c>
      <c r="D312" s="6">
        <v>44335</v>
      </c>
      <c r="E312" s="6">
        <v>45086</v>
      </c>
      <c r="F312" s="1" t="s">
        <v>74</v>
      </c>
      <c r="G312" s="2">
        <v>52500</v>
      </c>
      <c r="H312" s="7">
        <v>3</v>
      </c>
      <c r="I312" s="7">
        <v>3</v>
      </c>
      <c r="J312" s="7">
        <v>1</v>
      </c>
      <c r="K312" s="7">
        <v>3</v>
      </c>
      <c r="L312" s="7">
        <v>3</v>
      </c>
    </row>
    <row r="313" spans="1:12" x14ac:dyDescent="0.55000000000000004">
      <c r="A313" s="3">
        <v>1238911732</v>
      </c>
      <c r="B313" s="1" t="s">
        <v>14</v>
      </c>
      <c r="C313" s="6">
        <v>37547</v>
      </c>
      <c r="D313" s="6">
        <v>45883</v>
      </c>
      <c r="E313" s="6"/>
      <c r="F313" s="1" t="s">
        <v>18</v>
      </c>
      <c r="G313" s="2">
        <v>33800</v>
      </c>
      <c r="H313" s="7">
        <v>3</v>
      </c>
      <c r="I313" s="7">
        <v>3</v>
      </c>
      <c r="J313" s="7">
        <v>1</v>
      </c>
      <c r="K313" s="7">
        <v>3</v>
      </c>
      <c r="L313" s="7">
        <v>2</v>
      </c>
    </row>
    <row r="314" spans="1:12" x14ac:dyDescent="0.55000000000000004">
      <c r="A314" s="3">
        <v>1238911734</v>
      </c>
      <c r="B314" s="1" t="s">
        <v>14</v>
      </c>
      <c r="C314" s="6">
        <v>37660</v>
      </c>
      <c r="D314" s="6">
        <v>45703</v>
      </c>
      <c r="E314" s="6"/>
      <c r="F314" s="1" t="s">
        <v>133</v>
      </c>
      <c r="G314" s="2">
        <v>31200</v>
      </c>
      <c r="H314" s="7">
        <v>2</v>
      </c>
      <c r="I314" s="7">
        <v>2</v>
      </c>
      <c r="J314" s="7">
        <v>1</v>
      </c>
      <c r="K314" s="7">
        <v>2</v>
      </c>
      <c r="L314" s="7">
        <v>2</v>
      </c>
    </row>
    <row r="315" spans="1:12" x14ac:dyDescent="0.55000000000000004">
      <c r="A315" s="3">
        <v>1238911736</v>
      </c>
      <c r="B315" s="1" t="s">
        <v>14</v>
      </c>
      <c r="C315" s="6">
        <v>37753</v>
      </c>
      <c r="D315" s="6">
        <v>44634</v>
      </c>
      <c r="E315" s="6"/>
      <c r="F315" s="1" t="s">
        <v>44</v>
      </c>
      <c r="G315" s="2">
        <v>31200</v>
      </c>
      <c r="H315" s="7">
        <v>3</v>
      </c>
      <c r="I315" s="7">
        <v>3</v>
      </c>
      <c r="J315" s="7">
        <v>1</v>
      </c>
      <c r="K315" s="7">
        <v>3</v>
      </c>
      <c r="L315" s="7">
        <v>1</v>
      </c>
    </row>
    <row r="316" spans="1:12" x14ac:dyDescent="0.55000000000000004">
      <c r="A316" s="3">
        <v>1238911737</v>
      </c>
      <c r="B316" s="1" t="s">
        <v>14</v>
      </c>
      <c r="C316" s="6">
        <v>37806</v>
      </c>
      <c r="D316" s="6">
        <v>44472</v>
      </c>
      <c r="E316" s="6">
        <v>45154</v>
      </c>
      <c r="F316" s="1" t="s">
        <v>44</v>
      </c>
      <c r="G316" s="2">
        <v>28600</v>
      </c>
      <c r="H316" s="7">
        <v>3</v>
      </c>
      <c r="I316" s="7">
        <v>3</v>
      </c>
      <c r="J316" s="7">
        <v>1</v>
      </c>
      <c r="K316" s="7">
        <v>3</v>
      </c>
      <c r="L316" s="7">
        <v>2</v>
      </c>
    </row>
    <row r="317" spans="1:12" x14ac:dyDescent="0.55000000000000004">
      <c r="A317" s="3">
        <v>1238911738</v>
      </c>
      <c r="B317" s="1" t="s">
        <v>14</v>
      </c>
      <c r="C317" s="6">
        <v>37889</v>
      </c>
      <c r="D317" s="6">
        <v>45286</v>
      </c>
      <c r="E317" s="6"/>
      <c r="F317" s="1" t="s">
        <v>318</v>
      </c>
      <c r="G317" s="2">
        <v>32343.75</v>
      </c>
      <c r="H317" s="7">
        <v>1</v>
      </c>
      <c r="I317" s="7">
        <v>2</v>
      </c>
      <c r="J317" s="7">
        <v>2</v>
      </c>
      <c r="K317" s="7">
        <v>3</v>
      </c>
      <c r="L317" s="7">
        <v>2</v>
      </c>
    </row>
    <row r="318" spans="1:12" x14ac:dyDescent="0.55000000000000004">
      <c r="A318" s="3">
        <v>1238911740</v>
      </c>
      <c r="B318" s="1" t="s">
        <v>14</v>
      </c>
      <c r="C318" s="6">
        <v>36190</v>
      </c>
      <c r="D318" s="6">
        <v>44701</v>
      </c>
      <c r="E318" s="6">
        <v>45910</v>
      </c>
      <c r="F318" s="1" t="s">
        <v>319</v>
      </c>
      <c r="G318" s="2">
        <v>55900</v>
      </c>
      <c r="H318" s="7">
        <v>2</v>
      </c>
      <c r="I318" s="7">
        <v>3</v>
      </c>
      <c r="J318" s="7">
        <v>2</v>
      </c>
      <c r="K318" s="7">
        <v>2</v>
      </c>
      <c r="L318" s="7">
        <v>1</v>
      </c>
    </row>
    <row r="319" spans="1:12" x14ac:dyDescent="0.55000000000000004">
      <c r="A319" s="3">
        <v>1238911741</v>
      </c>
      <c r="B319" s="1" t="s">
        <v>14</v>
      </c>
      <c r="C319" s="6">
        <v>36610</v>
      </c>
      <c r="D319" s="6">
        <v>44457</v>
      </c>
      <c r="E319" s="6">
        <v>44790</v>
      </c>
      <c r="F319" s="1" t="s">
        <v>133</v>
      </c>
      <c r="G319" s="2">
        <v>31668</v>
      </c>
      <c r="H319" s="7">
        <v>2</v>
      </c>
      <c r="I319" s="7">
        <v>3</v>
      </c>
      <c r="J319" s="7">
        <v>1</v>
      </c>
      <c r="K319" s="7">
        <v>3</v>
      </c>
      <c r="L319" s="7">
        <v>2</v>
      </c>
    </row>
    <row r="320" spans="1:12" x14ac:dyDescent="0.55000000000000004">
      <c r="A320" s="3">
        <v>1238911743</v>
      </c>
      <c r="B320" s="1" t="s">
        <v>14</v>
      </c>
      <c r="C320" s="6">
        <v>38321</v>
      </c>
      <c r="D320" s="6">
        <v>45612</v>
      </c>
      <c r="E320" s="6"/>
      <c r="F320" s="1" t="s">
        <v>44</v>
      </c>
      <c r="G320" s="2">
        <v>31200</v>
      </c>
      <c r="H320" s="7">
        <v>3</v>
      </c>
      <c r="I320" s="7">
        <v>1</v>
      </c>
      <c r="J320" s="7">
        <v>3</v>
      </c>
      <c r="K320" s="7">
        <v>3</v>
      </c>
      <c r="L320" s="7">
        <v>2</v>
      </c>
    </row>
    <row r="321" spans="1:12" x14ac:dyDescent="0.55000000000000004">
      <c r="A321" s="3">
        <v>1238911744</v>
      </c>
      <c r="B321" s="1" t="s">
        <v>14</v>
      </c>
      <c r="C321" s="6">
        <v>38484</v>
      </c>
      <c r="D321" s="6">
        <v>45395</v>
      </c>
      <c r="E321" s="6">
        <v>45910</v>
      </c>
      <c r="F321" s="1" t="s">
        <v>25</v>
      </c>
      <c r="G321" s="2">
        <v>27300</v>
      </c>
      <c r="H321" s="7">
        <v>2</v>
      </c>
      <c r="I321" s="7">
        <v>2</v>
      </c>
      <c r="J321" s="7">
        <v>2</v>
      </c>
      <c r="K321" s="7">
        <v>2</v>
      </c>
      <c r="L321" s="7">
        <v>1</v>
      </c>
    </row>
  </sheetData>
  <autoFilter ref="A1:L321" xr:uid="{2AC42505-9579-40C2-B18D-797E9909680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7726-8773-48E4-B233-E74589F32953}">
  <dimension ref="A3:B312"/>
  <sheetViews>
    <sheetView workbookViewId="0">
      <selection activeCell="A10" sqref="A4:A311"/>
      <pivotSelection pane="bottomRight" showHeader="1" axis="axisRow" activeRow="9" previousRow="9" r:id="rId1">
        <pivotArea dataOnly="0" labelOnly="1" fieldPosition="0">
          <references count="1">
            <reference field="5" count="0"/>
          </references>
        </pivotArea>
      </pivotSelection>
    </sheetView>
  </sheetViews>
  <sheetFormatPr defaultRowHeight="14.4" x14ac:dyDescent="0.55000000000000004"/>
  <cols>
    <col min="1" max="1" width="35.68359375" bestFit="1" customWidth="1"/>
    <col min="2" max="2" width="18.26171875" bestFit="1" customWidth="1"/>
  </cols>
  <sheetData>
    <row r="3" spans="1:2" x14ac:dyDescent="0.55000000000000004">
      <c r="A3" s="9" t="s">
        <v>321</v>
      </c>
      <c r="B3" t="s">
        <v>324</v>
      </c>
    </row>
    <row r="4" spans="1:2" x14ac:dyDescent="0.55000000000000004">
      <c r="A4" s="1" t="s">
        <v>13</v>
      </c>
      <c r="B4">
        <v>130085671549</v>
      </c>
    </row>
    <row r="5" spans="1:2" x14ac:dyDescent="0.55000000000000004">
      <c r="A5" s="1" t="s">
        <v>25</v>
      </c>
      <c r="B5">
        <v>45839716945</v>
      </c>
    </row>
    <row r="6" spans="1:2" x14ac:dyDescent="0.55000000000000004">
      <c r="A6" s="1" t="s">
        <v>44</v>
      </c>
      <c r="B6">
        <v>43361900630</v>
      </c>
    </row>
    <row r="7" spans="1:2" x14ac:dyDescent="0.55000000000000004">
      <c r="A7" s="1" t="s">
        <v>63</v>
      </c>
      <c r="B7">
        <v>26017141027</v>
      </c>
    </row>
    <row r="8" spans="1:2" x14ac:dyDescent="0.55000000000000004">
      <c r="A8" s="1" t="s">
        <v>134</v>
      </c>
      <c r="B8">
        <v>18583673625</v>
      </c>
    </row>
    <row r="9" spans="1:2" x14ac:dyDescent="0.55000000000000004">
      <c r="A9" s="1" t="s">
        <v>74</v>
      </c>
      <c r="B9">
        <v>18583671398</v>
      </c>
    </row>
    <row r="10" spans="1:2" x14ac:dyDescent="0.55000000000000004">
      <c r="A10" s="1" t="s">
        <v>43</v>
      </c>
      <c r="B10">
        <v>18583669221</v>
      </c>
    </row>
    <row r="11" spans="1:2" x14ac:dyDescent="0.55000000000000004">
      <c r="A11" s="1" t="s">
        <v>96</v>
      </c>
      <c r="B11">
        <v>13628026690</v>
      </c>
    </row>
    <row r="12" spans="1:2" x14ac:dyDescent="0.55000000000000004">
      <c r="A12" s="1" t="s">
        <v>68</v>
      </c>
      <c r="B12">
        <v>12389114487</v>
      </c>
    </row>
    <row r="13" spans="1:2" x14ac:dyDescent="0.55000000000000004">
      <c r="A13" s="1" t="s">
        <v>136</v>
      </c>
      <c r="B13">
        <v>11150203615</v>
      </c>
    </row>
    <row r="14" spans="1:2" x14ac:dyDescent="0.55000000000000004">
      <c r="A14" s="1" t="s">
        <v>87</v>
      </c>
      <c r="B14">
        <v>11150203061</v>
      </c>
    </row>
    <row r="15" spans="1:2" x14ac:dyDescent="0.55000000000000004">
      <c r="A15" s="1" t="s">
        <v>32</v>
      </c>
      <c r="B15">
        <v>11150200231</v>
      </c>
    </row>
    <row r="16" spans="1:2" x14ac:dyDescent="0.55000000000000004">
      <c r="A16" s="1" t="s">
        <v>157</v>
      </c>
      <c r="B16">
        <v>9911291869</v>
      </c>
    </row>
    <row r="17" spans="1:2" x14ac:dyDescent="0.55000000000000004">
      <c r="A17" s="1" t="s">
        <v>185</v>
      </c>
      <c r="B17">
        <v>8672380282</v>
      </c>
    </row>
    <row r="18" spans="1:2" x14ac:dyDescent="0.55000000000000004">
      <c r="A18" s="1" t="s">
        <v>48</v>
      </c>
      <c r="B18">
        <v>8672379706</v>
      </c>
    </row>
    <row r="19" spans="1:2" x14ac:dyDescent="0.55000000000000004">
      <c r="A19" s="1" t="s">
        <v>36</v>
      </c>
      <c r="B19">
        <v>8672378311</v>
      </c>
    </row>
    <row r="20" spans="1:2" x14ac:dyDescent="0.55000000000000004">
      <c r="A20" s="1" t="s">
        <v>107</v>
      </c>
      <c r="B20">
        <v>7433468144</v>
      </c>
    </row>
    <row r="21" spans="1:2" x14ac:dyDescent="0.55000000000000004">
      <c r="A21" s="1" t="s">
        <v>19</v>
      </c>
      <c r="B21">
        <v>7433466766</v>
      </c>
    </row>
    <row r="22" spans="1:2" x14ac:dyDescent="0.55000000000000004">
      <c r="A22" s="1" t="s">
        <v>133</v>
      </c>
      <c r="B22">
        <v>6194558198</v>
      </c>
    </row>
    <row r="23" spans="1:2" x14ac:dyDescent="0.55000000000000004">
      <c r="A23" s="1" t="s">
        <v>191</v>
      </c>
      <c r="B23">
        <v>6194557958</v>
      </c>
    </row>
    <row r="24" spans="1:2" x14ac:dyDescent="0.55000000000000004">
      <c r="A24" s="1" t="s">
        <v>138</v>
      </c>
      <c r="B24">
        <v>6194557530</v>
      </c>
    </row>
    <row r="25" spans="1:2" x14ac:dyDescent="0.55000000000000004">
      <c r="A25" s="1" t="s">
        <v>114</v>
      </c>
      <c r="B25">
        <v>6194557150</v>
      </c>
    </row>
    <row r="26" spans="1:2" x14ac:dyDescent="0.55000000000000004">
      <c r="A26" s="1" t="s">
        <v>99</v>
      </c>
      <c r="B26">
        <v>6194556836</v>
      </c>
    </row>
    <row r="27" spans="1:2" x14ac:dyDescent="0.55000000000000004">
      <c r="A27" s="1" t="s">
        <v>45</v>
      </c>
      <c r="B27">
        <v>6194556237</v>
      </c>
    </row>
    <row r="28" spans="1:2" x14ac:dyDescent="0.55000000000000004">
      <c r="A28" s="1" t="s">
        <v>23</v>
      </c>
      <c r="B28">
        <v>6194556163</v>
      </c>
    </row>
    <row r="29" spans="1:2" x14ac:dyDescent="0.55000000000000004">
      <c r="A29" s="1" t="s">
        <v>280</v>
      </c>
      <c r="B29">
        <v>4955646646</v>
      </c>
    </row>
    <row r="30" spans="1:2" x14ac:dyDescent="0.55000000000000004">
      <c r="A30" s="1" t="s">
        <v>187</v>
      </c>
      <c r="B30">
        <v>4955646034</v>
      </c>
    </row>
    <row r="31" spans="1:2" x14ac:dyDescent="0.55000000000000004">
      <c r="A31" s="1" t="s">
        <v>58</v>
      </c>
      <c r="B31">
        <v>4955645930</v>
      </c>
    </row>
    <row r="32" spans="1:2" x14ac:dyDescent="0.55000000000000004">
      <c r="A32" s="1" t="s">
        <v>91</v>
      </c>
      <c r="B32">
        <v>4955645823</v>
      </c>
    </row>
    <row r="33" spans="1:2" x14ac:dyDescent="0.55000000000000004">
      <c r="A33" s="1" t="s">
        <v>92</v>
      </c>
      <c r="B33">
        <v>4955645399</v>
      </c>
    </row>
    <row r="34" spans="1:2" x14ac:dyDescent="0.55000000000000004">
      <c r="A34" s="1" t="s">
        <v>80</v>
      </c>
      <c r="B34">
        <v>4955645394</v>
      </c>
    </row>
    <row r="35" spans="1:2" x14ac:dyDescent="0.55000000000000004">
      <c r="A35" s="1" t="s">
        <v>59</v>
      </c>
      <c r="B35">
        <v>4955644984</v>
      </c>
    </row>
    <row r="36" spans="1:2" x14ac:dyDescent="0.55000000000000004">
      <c r="A36" s="1" t="s">
        <v>289</v>
      </c>
      <c r="B36">
        <v>3716735041</v>
      </c>
    </row>
    <row r="37" spans="1:2" x14ac:dyDescent="0.55000000000000004">
      <c r="A37" s="1" t="s">
        <v>270</v>
      </c>
      <c r="B37">
        <v>3716734964</v>
      </c>
    </row>
    <row r="38" spans="1:2" x14ac:dyDescent="0.55000000000000004">
      <c r="A38" s="1" t="s">
        <v>247</v>
      </c>
      <c r="B38">
        <v>3716734933</v>
      </c>
    </row>
    <row r="39" spans="1:2" x14ac:dyDescent="0.55000000000000004">
      <c r="A39" s="1" t="s">
        <v>172</v>
      </c>
      <c r="B39">
        <v>3716734674</v>
      </c>
    </row>
    <row r="40" spans="1:2" x14ac:dyDescent="0.55000000000000004">
      <c r="A40" s="1" t="s">
        <v>220</v>
      </c>
      <c r="B40">
        <v>3716734589</v>
      </c>
    </row>
    <row r="41" spans="1:2" x14ac:dyDescent="0.55000000000000004">
      <c r="A41" s="1" t="s">
        <v>189</v>
      </c>
      <c r="B41">
        <v>3716734526</v>
      </c>
    </row>
    <row r="42" spans="1:2" x14ac:dyDescent="0.55000000000000004">
      <c r="A42" s="1" t="s">
        <v>183</v>
      </c>
      <c r="B42">
        <v>3716734502</v>
      </c>
    </row>
    <row r="43" spans="1:2" x14ac:dyDescent="0.55000000000000004">
      <c r="A43" s="1" t="s">
        <v>84</v>
      </c>
      <c r="B43">
        <v>3716734376</v>
      </c>
    </row>
    <row r="44" spans="1:2" x14ac:dyDescent="0.55000000000000004">
      <c r="A44" s="1" t="s">
        <v>65</v>
      </c>
      <c r="B44">
        <v>3716734371</v>
      </c>
    </row>
    <row r="45" spans="1:2" x14ac:dyDescent="0.55000000000000004">
      <c r="A45" s="1" t="s">
        <v>141</v>
      </c>
      <c r="B45">
        <v>3716734350</v>
      </c>
    </row>
    <row r="46" spans="1:2" x14ac:dyDescent="0.55000000000000004">
      <c r="A46" s="1" t="s">
        <v>100</v>
      </c>
      <c r="B46">
        <v>3716734045</v>
      </c>
    </row>
    <row r="47" spans="1:2" x14ac:dyDescent="0.55000000000000004">
      <c r="A47" s="1" t="s">
        <v>85</v>
      </c>
      <c r="B47">
        <v>3716733879</v>
      </c>
    </row>
    <row r="48" spans="1:2" x14ac:dyDescent="0.55000000000000004">
      <c r="A48" s="1" t="s">
        <v>26</v>
      </c>
      <c r="B48">
        <v>3716733207</v>
      </c>
    </row>
    <row r="49" spans="1:2" x14ac:dyDescent="0.55000000000000004">
      <c r="A49" s="1" t="s">
        <v>316</v>
      </c>
      <c r="B49">
        <v>2477823470</v>
      </c>
    </row>
    <row r="50" spans="1:2" x14ac:dyDescent="0.55000000000000004">
      <c r="A50" s="1" t="s">
        <v>310</v>
      </c>
      <c r="B50">
        <v>2477823462</v>
      </c>
    </row>
    <row r="51" spans="1:2" x14ac:dyDescent="0.55000000000000004">
      <c r="A51" s="1" t="s">
        <v>285</v>
      </c>
      <c r="B51">
        <v>2477823355</v>
      </c>
    </row>
    <row r="52" spans="1:2" x14ac:dyDescent="0.55000000000000004">
      <c r="A52" s="1" t="s">
        <v>295</v>
      </c>
      <c r="B52">
        <v>2477823355</v>
      </c>
    </row>
    <row r="53" spans="1:2" x14ac:dyDescent="0.55000000000000004">
      <c r="A53" s="1" t="s">
        <v>293</v>
      </c>
      <c r="B53">
        <v>2477823349</v>
      </c>
    </row>
    <row r="54" spans="1:2" x14ac:dyDescent="0.55000000000000004">
      <c r="A54" s="1" t="s">
        <v>292</v>
      </c>
      <c r="B54">
        <v>2477823341</v>
      </c>
    </row>
    <row r="55" spans="1:2" x14ac:dyDescent="0.55000000000000004">
      <c r="A55" s="1" t="s">
        <v>269</v>
      </c>
      <c r="B55">
        <v>2477823321</v>
      </c>
    </row>
    <row r="56" spans="1:2" x14ac:dyDescent="0.55000000000000004">
      <c r="A56" s="1" t="s">
        <v>287</v>
      </c>
      <c r="B56">
        <v>2477823301</v>
      </c>
    </row>
    <row r="57" spans="1:2" x14ac:dyDescent="0.55000000000000004">
      <c r="A57" s="1" t="s">
        <v>283</v>
      </c>
      <c r="B57">
        <v>2477823279</v>
      </c>
    </row>
    <row r="58" spans="1:2" x14ac:dyDescent="0.55000000000000004">
      <c r="A58" s="1" t="s">
        <v>252</v>
      </c>
      <c r="B58">
        <v>2477823196</v>
      </c>
    </row>
    <row r="59" spans="1:2" x14ac:dyDescent="0.55000000000000004">
      <c r="A59" s="1" t="s">
        <v>267</v>
      </c>
      <c r="B59">
        <v>2477823187</v>
      </c>
    </row>
    <row r="60" spans="1:2" x14ac:dyDescent="0.55000000000000004">
      <c r="A60" s="1" t="s">
        <v>198</v>
      </c>
      <c r="B60">
        <v>2477823140</v>
      </c>
    </row>
    <row r="61" spans="1:2" x14ac:dyDescent="0.55000000000000004">
      <c r="A61" s="1" t="s">
        <v>248</v>
      </c>
      <c r="B61">
        <v>2477823117</v>
      </c>
    </row>
    <row r="62" spans="1:2" x14ac:dyDescent="0.55000000000000004">
      <c r="A62" s="1" t="s">
        <v>208</v>
      </c>
      <c r="B62">
        <v>2477823076</v>
      </c>
    </row>
    <row r="63" spans="1:2" x14ac:dyDescent="0.55000000000000004">
      <c r="A63" s="1" t="s">
        <v>242</v>
      </c>
      <c r="B63">
        <v>2477823075</v>
      </c>
    </row>
    <row r="64" spans="1:2" x14ac:dyDescent="0.55000000000000004">
      <c r="A64" s="1" t="s">
        <v>205</v>
      </c>
      <c r="B64">
        <v>2477823044</v>
      </c>
    </row>
    <row r="65" spans="1:2" x14ac:dyDescent="0.55000000000000004">
      <c r="A65" s="1" t="s">
        <v>216</v>
      </c>
      <c r="B65">
        <v>2477823042</v>
      </c>
    </row>
    <row r="66" spans="1:2" x14ac:dyDescent="0.55000000000000004">
      <c r="A66" s="1" t="s">
        <v>229</v>
      </c>
      <c r="B66">
        <v>2477823015</v>
      </c>
    </row>
    <row r="67" spans="1:2" x14ac:dyDescent="0.55000000000000004">
      <c r="A67" s="1" t="s">
        <v>161</v>
      </c>
      <c r="B67">
        <v>2477822994</v>
      </c>
    </row>
    <row r="68" spans="1:2" x14ac:dyDescent="0.55000000000000004">
      <c r="A68" s="1" t="s">
        <v>207</v>
      </c>
      <c r="B68">
        <v>2477822921</v>
      </c>
    </row>
    <row r="69" spans="1:2" x14ac:dyDescent="0.55000000000000004">
      <c r="A69" s="1" t="s">
        <v>142</v>
      </c>
      <c r="B69">
        <v>2477822869</v>
      </c>
    </row>
    <row r="70" spans="1:2" x14ac:dyDescent="0.55000000000000004">
      <c r="A70" s="1" t="s">
        <v>196</v>
      </c>
      <c r="B70">
        <v>2477822869</v>
      </c>
    </row>
    <row r="71" spans="1:2" x14ac:dyDescent="0.55000000000000004">
      <c r="A71" s="1" t="s">
        <v>81</v>
      </c>
      <c r="B71">
        <v>2477822852</v>
      </c>
    </row>
    <row r="72" spans="1:2" x14ac:dyDescent="0.55000000000000004">
      <c r="A72" s="1" t="s">
        <v>190</v>
      </c>
      <c r="B72">
        <v>2477822851</v>
      </c>
    </row>
    <row r="73" spans="1:2" x14ac:dyDescent="0.55000000000000004">
      <c r="A73" s="1" t="s">
        <v>188</v>
      </c>
      <c r="B73">
        <v>2477822833</v>
      </c>
    </row>
    <row r="74" spans="1:2" x14ac:dyDescent="0.55000000000000004">
      <c r="A74" s="1" t="s">
        <v>118</v>
      </c>
      <c r="B74">
        <v>2477822813</v>
      </c>
    </row>
    <row r="75" spans="1:2" x14ac:dyDescent="0.55000000000000004">
      <c r="A75" s="1" t="s">
        <v>129</v>
      </c>
      <c r="B75">
        <v>2477822801</v>
      </c>
    </row>
    <row r="76" spans="1:2" x14ac:dyDescent="0.55000000000000004">
      <c r="A76" s="1" t="s">
        <v>169</v>
      </c>
      <c r="B76">
        <v>2477822775</v>
      </c>
    </row>
    <row r="77" spans="1:2" x14ac:dyDescent="0.55000000000000004">
      <c r="A77" s="1" t="s">
        <v>166</v>
      </c>
      <c r="B77">
        <v>2477822761</v>
      </c>
    </row>
    <row r="78" spans="1:2" x14ac:dyDescent="0.55000000000000004">
      <c r="A78" s="1" t="s">
        <v>162</v>
      </c>
      <c r="B78">
        <v>2477822752</v>
      </c>
    </row>
    <row r="79" spans="1:2" x14ac:dyDescent="0.55000000000000004">
      <c r="A79" s="1" t="s">
        <v>18</v>
      </c>
      <c r="B79">
        <v>2477822739</v>
      </c>
    </row>
    <row r="80" spans="1:2" x14ac:dyDescent="0.55000000000000004">
      <c r="A80" s="1" t="s">
        <v>140</v>
      </c>
      <c r="B80">
        <v>2477822733</v>
      </c>
    </row>
    <row r="81" spans="1:2" x14ac:dyDescent="0.55000000000000004">
      <c r="A81" s="1" t="s">
        <v>111</v>
      </c>
      <c r="B81">
        <v>2477822724</v>
      </c>
    </row>
    <row r="82" spans="1:2" x14ac:dyDescent="0.55000000000000004">
      <c r="A82" s="1" t="s">
        <v>33</v>
      </c>
      <c r="B82">
        <v>2477822721</v>
      </c>
    </row>
    <row r="83" spans="1:2" x14ac:dyDescent="0.55000000000000004">
      <c r="A83" s="1" t="s">
        <v>144</v>
      </c>
      <c r="B83">
        <v>2477822696</v>
      </c>
    </row>
    <row r="84" spans="1:2" x14ac:dyDescent="0.55000000000000004">
      <c r="A84" s="1" t="s">
        <v>72</v>
      </c>
      <c r="B84">
        <v>2477822682</v>
      </c>
    </row>
    <row r="85" spans="1:2" x14ac:dyDescent="0.55000000000000004">
      <c r="A85" s="1" t="s">
        <v>124</v>
      </c>
      <c r="B85">
        <v>2477822579</v>
      </c>
    </row>
    <row r="86" spans="1:2" x14ac:dyDescent="0.55000000000000004">
      <c r="A86" s="1" t="s">
        <v>83</v>
      </c>
      <c r="B86">
        <v>2477822571</v>
      </c>
    </row>
    <row r="87" spans="1:2" x14ac:dyDescent="0.55000000000000004">
      <c r="A87" s="1" t="s">
        <v>108</v>
      </c>
      <c r="B87">
        <v>2477822554</v>
      </c>
    </row>
    <row r="88" spans="1:2" x14ac:dyDescent="0.55000000000000004">
      <c r="A88" s="1" t="s">
        <v>90</v>
      </c>
      <c r="B88">
        <v>2477822529</v>
      </c>
    </row>
    <row r="89" spans="1:2" x14ac:dyDescent="0.55000000000000004">
      <c r="A89" s="1" t="s">
        <v>109</v>
      </c>
      <c r="B89">
        <v>2477822519</v>
      </c>
    </row>
    <row r="90" spans="1:2" x14ac:dyDescent="0.55000000000000004">
      <c r="A90" s="1" t="s">
        <v>73</v>
      </c>
      <c r="B90">
        <v>2477822506</v>
      </c>
    </row>
    <row r="91" spans="1:2" x14ac:dyDescent="0.55000000000000004">
      <c r="A91" s="1" t="s">
        <v>30</v>
      </c>
      <c r="B91">
        <v>2477822348</v>
      </c>
    </row>
    <row r="92" spans="1:2" x14ac:dyDescent="0.55000000000000004">
      <c r="A92" s="1" t="s">
        <v>62</v>
      </c>
      <c r="B92">
        <v>2477822333</v>
      </c>
    </row>
    <row r="93" spans="1:2" x14ac:dyDescent="0.55000000000000004">
      <c r="A93" s="1" t="s">
        <v>60</v>
      </c>
      <c r="B93">
        <v>2477822285</v>
      </c>
    </row>
    <row r="94" spans="1:2" x14ac:dyDescent="0.55000000000000004">
      <c r="A94" s="1" t="s">
        <v>31</v>
      </c>
      <c r="B94">
        <v>2477822258</v>
      </c>
    </row>
    <row r="95" spans="1:2" x14ac:dyDescent="0.55000000000000004">
      <c r="A95" s="1" t="s">
        <v>49</v>
      </c>
      <c r="B95">
        <v>2477822233</v>
      </c>
    </row>
    <row r="96" spans="1:2" x14ac:dyDescent="0.55000000000000004">
      <c r="A96" s="1" t="s">
        <v>47</v>
      </c>
      <c r="B96">
        <v>2477822211</v>
      </c>
    </row>
    <row r="97" spans="1:2" x14ac:dyDescent="0.55000000000000004">
      <c r="A97" s="1" t="s">
        <v>17</v>
      </c>
      <c r="B97">
        <v>2477822058</v>
      </c>
    </row>
    <row r="98" spans="1:2" x14ac:dyDescent="0.55000000000000004">
      <c r="A98" s="1" t="s">
        <v>20</v>
      </c>
      <c r="B98">
        <v>2477822019</v>
      </c>
    </row>
    <row r="99" spans="1:2" x14ac:dyDescent="0.55000000000000004">
      <c r="A99" s="1" t="s">
        <v>15</v>
      </c>
      <c r="B99">
        <v>2477822015</v>
      </c>
    </row>
    <row r="100" spans="1:2" x14ac:dyDescent="0.55000000000000004">
      <c r="A100" s="1" t="s">
        <v>320</v>
      </c>
      <c r="B100">
        <v>1238911742</v>
      </c>
    </row>
    <row r="101" spans="1:2" x14ac:dyDescent="0.55000000000000004">
      <c r="A101" s="1" t="s">
        <v>319</v>
      </c>
      <c r="B101">
        <v>1238911740</v>
      </c>
    </row>
    <row r="102" spans="1:2" x14ac:dyDescent="0.55000000000000004">
      <c r="A102" s="1" t="s">
        <v>318</v>
      </c>
      <c r="B102">
        <v>1238911738</v>
      </c>
    </row>
    <row r="103" spans="1:2" x14ac:dyDescent="0.55000000000000004">
      <c r="A103" s="1" t="s">
        <v>317</v>
      </c>
      <c r="B103">
        <v>1238911735</v>
      </c>
    </row>
    <row r="104" spans="1:2" x14ac:dyDescent="0.55000000000000004">
      <c r="A104" s="1" t="s">
        <v>315</v>
      </c>
      <c r="B104">
        <v>1238911726</v>
      </c>
    </row>
    <row r="105" spans="1:2" x14ac:dyDescent="0.55000000000000004">
      <c r="A105" s="1" t="s">
        <v>314</v>
      </c>
      <c r="B105">
        <v>1238911724</v>
      </c>
    </row>
    <row r="106" spans="1:2" x14ac:dyDescent="0.55000000000000004">
      <c r="A106" s="1" t="s">
        <v>313</v>
      </c>
      <c r="B106">
        <v>1238911723</v>
      </c>
    </row>
    <row r="107" spans="1:2" x14ac:dyDescent="0.55000000000000004">
      <c r="A107" s="1" t="s">
        <v>312</v>
      </c>
      <c r="B107">
        <v>1238911720</v>
      </c>
    </row>
    <row r="108" spans="1:2" x14ac:dyDescent="0.55000000000000004">
      <c r="A108" s="1" t="s">
        <v>311</v>
      </c>
      <c r="B108">
        <v>1238911719</v>
      </c>
    </row>
    <row r="109" spans="1:2" x14ac:dyDescent="0.55000000000000004">
      <c r="A109" s="1" t="s">
        <v>309</v>
      </c>
      <c r="B109">
        <v>1238911716</v>
      </c>
    </row>
    <row r="110" spans="1:2" x14ac:dyDescent="0.55000000000000004">
      <c r="A110" s="1" t="s">
        <v>308</v>
      </c>
      <c r="B110">
        <v>1238911710</v>
      </c>
    </row>
    <row r="111" spans="1:2" x14ac:dyDescent="0.55000000000000004">
      <c r="A111" s="1" t="s">
        <v>307</v>
      </c>
      <c r="B111">
        <v>1238911708</v>
      </c>
    </row>
    <row r="112" spans="1:2" x14ac:dyDescent="0.55000000000000004">
      <c r="A112" s="1" t="s">
        <v>306</v>
      </c>
      <c r="B112">
        <v>1238911706</v>
      </c>
    </row>
    <row r="113" spans="1:2" x14ac:dyDescent="0.55000000000000004">
      <c r="A113" s="1" t="s">
        <v>305</v>
      </c>
      <c r="B113">
        <v>1238911705</v>
      </c>
    </row>
    <row r="114" spans="1:2" x14ac:dyDescent="0.55000000000000004">
      <c r="A114" s="1" t="s">
        <v>304</v>
      </c>
      <c r="B114">
        <v>1238911704</v>
      </c>
    </row>
    <row r="115" spans="1:2" x14ac:dyDescent="0.55000000000000004">
      <c r="A115" s="1" t="s">
        <v>303</v>
      </c>
      <c r="B115">
        <v>1238911700</v>
      </c>
    </row>
    <row r="116" spans="1:2" x14ac:dyDescent="0.55000000000000004">
      <c r="A116" s="1" t="s">
        <v>302</v>
      </c>
      <c r="B116">
        <v>1238911699</v>
      </c>
    </row>
    <row r="117" spans="1:2" x14ac:dyDescent="0.55000000000000004">
      <c r="A117" s="1" t="s">
        <v>301</v>
      </c>
      <c r="B117">
        <v>1238911698</v>
      </c>
    </row>
    <row r="118" spans="1:2" x14ac:dyDescent="0.55000000000000004">
      <c r="A118" s="1" t="s">
        <v>300</v>
      </c>
      <c r="B118">
        <v>1238911697</v>
      </c>
    </row>
    <row r="119" spans="1:2" x14ac:dyDescent="0.55000000000000004">
      <c r="A119" s="1" t="s">
        <v>299</v>
      </c>
      <c r="B119">
        <v>1238911693</v>
      </c>
    </row>
    <row r="120" spans="1:2" x14ac:dyDescent="0.55000000000000004">
      <c r="A120" s="1" t="s">
        <v>298</v>
      </c>
      <c r="B120">
        <v>1238911691</v>
      </c>
    </row>
    <row r="121" spans="1:2" x14ac:dyDescent="0.55000000000000004">
      <c r="A121" s="1" t="s">
        <v>297</v>
      </c>
      <c r="B121">
        <v>1238911690</v>
      </c>
    </row>
    <row r="122" spans="1:2" x14ac:dyDescent="0.55000000000000004">
      <c r="A122" s="1" t="s">
        <v>296</v>
      </c>
      <c r="B122">
        <v>1238911687</v>
      </c>
    </row>
    <row r="123" spans="1:2" x14ac:dyDescent="0.55000000000000004">
      <c r="A123" s="1" t="s">
        <v>294</v>
      </c>
      <c r="B123">
        <v>1238911676</v>
      </c>
    </row>
    <row r="124" spans="1:2" x14ac:dyDescent="0.55000000000000004">
      <c r="A124" s="1" t="s">
        <v>291</v>
      </c>
      <c r="B124">
        <v>1238911668</v>
      </c>
    </row>
    <row r="125" spans="1:2" x14ac:dyDescent="0.55000000000000004">
      <c r="A125" s="1" t="s">
        <v>290</v>
      </c>
      <c r="B125">
        <v>1238911661</v>
      </c>
    </row>
    <row r="126" spans="1:2" x14ac:dyDescent="0.55000000000000004">
      <c r="A126" s="1" t="s">
        <v>288</v>
      </c>
      <c r="B126">
        <v>1238911655</v>
      </c>
    </row>
    <row r="127" spans="1:2" x14ac:dyDescent="0.55000000000000004">
      <c r="A127" s="1" t="s">
        <v>286</v>
      </c>
      <c r="B127">
        <v>1238911644</v>
      </c>
    </row>
    <row r="128" spans="1:2" x14ac:dyDescent="0.55000000000000004">
      <c r="A128" s="1" t="s">
        <v>284</v>
      </c>
      <c r="B128">
        <v>1238911634</v>
      </c>
    </row>
    <row r="129" spans="1:2" x14ac:dyDescent="0.55000000000000004">
      <c r="A129" s="1" t="s">
        <v>282</v>
      </c>
      <c r="B129">
        <v>1238911627</v>
      </c>
    </row>
    <row r="130" spans="1:2" x14ac:dyDescent="0.55000000000000004">
      <c r="A130" s="1" t="s">
        <v>281</v>
      </c>
      <c r="B130">
        <v>1238911625</v>
      </c>
    </row>
    <row r="131" spans="1:2" x14ac:dyDescent="0.55000000000000004">
      <c r="A131" s="1" t="s">
        <v>279</v>
      </c>
      <c r="B131">
        <v>1238911612</v>
      </c>
    </row>
    <row r="132" spans="1:2" x14ac:dyDescent="0.55000000000000004">
      <c r="A132" s="1" t="s">
        <v>278</v>
      </c>
      <c r="B132">
        <v>1238911611</v>
      </c>
    </row>
    <row r="133" spans="1:2" x14ac:dyDescent="0.55000000000000004">
      <c r="A133" s="1" t="s">
        <v>277</v>
      </c>
      <c r="B133">
        <v>1238911608</v>
      </c>
    </row>
    <row r="134" spans="1:2" x14ac:dyDescent="0.55000000000000004">
      <c r="A134" s="1" t="s">
        <v>276</v>
      </c>
      <c r="B134">
        <v>1238911607</v>
      </c>
    </row>
    <row r="135" spans="1:2" x14ac:dyDescent="0.55000000000000004">
      <c r="A135" s="1" t="s">
        <v>275</v>
      </c>
      <c r="B135">
        <v>1238911606</v>
      </c>
    </row>
    <row r="136" spans="1:2" x14ac:dyDescent="0.55000000000000004">
      <c r="A136" s="1" t="s">
        <v>274</v>
      </c>
      <c r="B136">
        <v>1238911602</v>
      </c>
    </row>
    <row r="137" spans="1:2" x14ac:dyDescent="0.55000000000000004">
      <c r="A137" s="1" t="s">
        <v>273</v>
      </c>
      <c r="B137">
        <v>1238911601</v>
      </c>
    </row>
    <row r="138" spans="1:2" x14ac:dyDescent="0.55000000000000004">
      <c r="A138" s="1" t="s">
        <v>272</v>
      </c>
      <c r="B138">
        <v>1238911600</v>
      </c>
    </row>
    <row r="139" spans="1:2" x14ac:dyDescent="0.55000000000000004">
      <c r="A139" s="1" t="s">
        <v>271</v>
      </c>
      <c r="B139">
        <v>1238911598</v>
      </c>
    </row>
    <row r="140" spans="1:2" x14ac:dyDescent="0.55000000000000004">
      <c r="A140" s="1" t="s">
        <v>268</v>
      </c>
      <c r="B140">
        <v>1238911595</v>
      </c>
    </row>
    <row r="141" spans="1:2" x14ac:dyDescent="0.55000000000000004">
      <c r="A141" s="1" t="s">
        <v>266</v>
      </c>
      <c r="B141">
        <v>1238911591</v>
      </c>
    </row>
    <row r="142" spans="1:2" x14ac:dyDescent="0.55000000000000004">
      <c r="A142" s="1" t="s">
        <v>265</v>
      </c>
      <c r="B142">
        <v>1238911590</v>
      </c>
    </row>
    <row r="143" spans="1:2" x14ac:dyDescent="0.55000000000000004">
      <c r="A143" s="1" t="s">
        <v>264</v>
      </c>
      <c r="B143">
        <v>1238911588</v>
      </c>
    </row>
    <row r="144" spans="1:2" x14ac:dyDescent="0.55000000000000004">
      <c r="A144" s="1" t="s">
        <v>263</v>
      </c>
      <c r="B144">
        <v>1238911587</v>
      </c>
    </row>
    <row r="145" spans="1:2" x14ac:dyDescent="0.55000000000000004">
      <c r="A145" s="1" t="s">
        <v>262</v>
      </c>
      <c r="B145">
        <v>1238911586</v>
      </c>
    </row>
    <row r="146" spans="1:2" x14ac:dyDescent="0.55000000000000004">
      <c r="A146" s="1" t="s">
        <v>261</v>
      </c>
      <c r="B146">
        <v>1238911585</v>
      </c>
    </row>
    <row r="147" spans="1:2" x14ac:dyDescent="0.55000000000000004">
      <c r="A147" s="1" t="s">
        <v>260</v>
      </c>
      <c r="B147">
        <v>1238911583</v>
      </c>
    </row>
    <row r="148" spans="1:2" x14ac:dyDescent="0.55000000000000004">
      <c r="A148" s="1" t="s">
        <v>259</v>
      </c>
      <c r="B148">
        <v>1238911582</v>
      </c>
    </row>
    <row r="149" spans="1:2" x14ac:dyDescent="0.55000000000000004">
      <c r="A149" s="1" t="s">
        <v>258</v>
      </c>
      <c r="B149">
        <v>1238911575</v>
      </c>
    </row>
    <row r="150" spans="1:2" x14ac:dyDescent="0.55000000000000004">
      <c r="A150" s="1" t="s">
        <v>257</v>
      </c>
      <c r="B150">
        <v>1238911574</v>
      </c>
    </row>
    <row r="151" spans="1:2" x14ac:dyDescent="0.55000000000000004">
      <c r="A151" s="1" t="s">
        <v>256</v>
      </c>
      <c r="B151">
        <v>1238911573</v>
      </c>
    </row>
    <row r="152" spans="1:2" x14ac:dyDescent="0.55000000000000004">
      <c r="A152" s="1" t="s">
        <v>255</v>
      </c>
      <c r="B152">
        <v>1238911572</v>
      </c>
    </row>
    <row r="153" spans="1:2" x14ac:dyDescent="0.55000000000000004">
      <c r="A153" s="1" t="s">
        <v>254</v>
      </c>
      <c r="B153">
        <v>1238911569</v>
      </c>
    </row>
    <row r="154" spans="1:2" x14ac:dyDescent="0.55000000000000004">
      <c r="A154" s="1" t="s">
        <v>253</v>
      </c>
      <c r="B154">
        <v>1238911568</v>
      </c>
    </row>
    <row r="155" spans="1:2" x14ac:dyDescent="0.55000000000000004">
      <c r="A155" s="1" t="s">
        <v>251</v>
      </c>
      <c r="B155">
        <v>1238911563</v>
      </c>
    </row>
    <row r="156" spans="1:2" x14ac:dyDescent="0.55000000000000004">
      <c r="A156" s="1" t="s">
        <v>250</v>
      </c>
      <c r="B156">
        <v>1238911562</v>
      </c>
    </row>
    <row r="157" spans="1:2" x14ac:dyDescent="0.55000000000000004">
      <c r="A157" s="1" t="s">
        <v>249</v>
      </c>
      <c r="B157">
        <v>1238911560</v>
      </c>
    </row>
    <row r="158" spans="1:2" x14ac:dyDescent="0.55000000000000004">
      <c r="A158" s="1" t="s">
        <v>246</v>
      </c>
      <c r="B158">
        <v>1238911549</v>
      </c>
    </row>
    <row r="159" spans="1:2" x14ac:dyDescent="0.55000000000000004">
      <c r="A159" s="1" t="s">
        <v>245</v>
      </c>
      <c r="B159">
        <v>1238911548</v>
      </c>
    </row>
    <row r="160" spans="1:2" x14ac:dyDescent="0.55000000000000004">
      <c r="A160" s="1" t="s">
        <v>244</v>
      </c>
      <c r="B160">
        <v>1238911543</v>
      </c>
    </row>
    <row r="161" spans="1:2" x14ac:dyDescent="0.55000000000000004">
      <c r="A161" s="1" t="s">
        <v>243</v>
      </c>
      <c r="B161">
        <v>1238911539</v>
      </c>
    </row>
    <row r="162" spans="1:2" x14ac:dyDescent="0.55000000000000004">
      <c r="A162" s="1" t="s">
        <v>241</v>
      </c>
      <c r="B162">
        <v>1238911536</v>
      </c>
    </row>
    <row r="163" spans="1:2" x14ac:dyDescent="0.55000000000000004">
      <c r="A163" s="1" t="s">
        <v>240</v>
      </c>
      <c r="B163">
        <v>1238911533</v>
      </c>
    </row>
    <row r="164" spans="1:2" x14ac:dyDescent="0.55000000000000004">
      <c r="A164" s="1" t="s">
        <v>239</v>
      </c>
      <c r="B164">
        <v>1238911528</v>
      </c>
    </row>
    <row r="165" spans="1:2" x14ac:dyDescent="0.55000000000000004">
      <c r="A165" s="1" t="s">
        <v>238</v>
      </c>
      <c r="B165">
        <v>1238911525</v>
      </c>
    </row>
    <row r="166" spans="1:2" x14ac:dyDescent="0.55000000000000004">
      <c r="A166" s="1" t="s">
        <v>237</v>
      </c>
      <c r="B166">
        <v>1238911524</v>
      </c>
    </row>
    <row r="167" spans="1:2" x14ac:dyDescent="0.55000000000000004">
      <c r="A167" s="1" t="s">
        <v>236</v>
      </c>
      <c r="B167">
        <v>1238911523</v>
      </c>
    </row>
    <row r="168" spans="1:2" x14ac:dyDescent="0.55000000000000004">
      <c r="A168" s="1" t="s">
        <v>235</v>
      </c>
      <c r="B168">
        <v>1238911522</v>
      </c>
    </row>
    <row r="169" spans="1:2" x14ac:dyDescent="0.55000000000000004">
      <c r="A169" s="1" t="s">
        <v>234</v>
      </c>
      <c r="B169">
        <v>1238911518</v>
      </c>
    </row>
    <row r="170" spans="1:2" x14ac:dyDescent="0.55000000000000004">
      <c r="A170" s="1" t="s">
        <v>233</v>
      </c>
      <c r="B170">
        <v>1238911515</v>
      </c>
    </row>
    <row r="171" spans="1:2" x14ac:dyDescent="0.55000000000000004">
      <c r="A171" s="1" t="s">
        <v>232</v>
      </c>
      <c r="B171">
        <v>1238911514</v>
      </c>
    </row>
    <row r="172" spans="1:2" x14ac:dyDescent="0.55000000000000004">
      <c r="A172" s="1" t="s">
        <v>231</v>
      </c>
      <c r="B172">
        <v>1238911513</v>
      </c>
    </row>
    <row r="173" spans="1:2" x14ac:dyDescent="0.55000000000000004">
      <c r="A173" s="1" t="s">
        <v>230</v>
      </c>
      <c r="B173">
        <v>1238911509</v>
      </c>
    </row>
    <row r="174" spans="1:2" x14ac:dyDescent="0.55000000000000004">
      <c r="A174" s="1" t="s">
        <v>228</v>
      </c>
      <c r="B174">
        <v>1238911506</v>
      </c>
    </row>
    <row r="175" spans="1:2" x14ac:dyDescent="0.55000000000000004">
      <c r="A175" s="1" t="s">
        <v>227</v>
      </c>
      <c r="B175">
        <v>1238911503</v>
      </c>
    </row>
    <row r="176" spans="1:2" x14ac:dyDescent="0.55000000000000004">
      <c r="A176" s="1" t="s">
        <v>226</v>
      </c>
      <c r="B176">
        <v>1238911501</v>
      </c>
    </row>
    <row r="177" spans="1:2" x14ac:dyDescent="0.55000000000000004">
      <c r="A177" s="1" t="s">
        <v>225</v>
      </c>
      <c r="B177">
        <v>1238911499</v>
      </c>
    </row>
    <row r="178" spans="1:2" x14ac:dyDescent="0.55000000000000004">
      <c r="A178" s="1" t="s">
        <v>224</v>
      </c>
      <c r="B178">
        <v>1238911498</v>
      </c>
    </row>
    <row r="179" spans="1:2" x14ac:dyDescent="0.55000000000000004">
      <c r="A179" s="1" t="s">
        <v>223</v>
      </c>
      <c r="B179">
        <v>1238911496</v>
      </c>
    </row>
    <row r="180" spans="1:2" x14ac:dyDescent="0.55000000000000004">
      <c r="A180" s="1" t="s">
        <v>222</v>
      </c>
      <c r="B180">
        <v>1238911493</v>
      </c>
    </row>
    <row r="181" spans="1:2" x14ac:dyDescent="0.55000000000000004">
      <c r="A181" s="1" t="s">
        <v>221</v>
      </c>
      <c r="B181">
        <v>1238911491</v>
      </c>
    </row>
    <row r="182" spans="1:2" x14ac:dyDescent="0.55000000000000004">
      <c r="A182" s="1" t="s">
        <v>219</v>
      </c>
      <c r="B182">
        <v>1238911486</v>
      </c>
    </row>
    <row r="183" spans="1:2" x14ac:dyDescent="0.55000000000000004">
      <c r="A183" s="1" t="s">
        <v>218</v>
      </c>
      <c r="B183">
        <v>1238911485</v>
      </c>
    </row>
    <row r="184" spans="1:2" x14ac:dyDescent="0.55000000000000004">
      <c r="A184" s="1" t="s">
        <v>217</v>
      </c>
      <c r="B184">
        <v>1238911481</v>
      </c>
    </row>
    <row r="185" spans="1:2" x14ac:dyDescent="0.55000000000000004">
      <c r="A185" s="1" t="s">
        <v>215</v>
      </c>
      <c r="B185">
        <v>1238911477</v>
      </c>
    </row>
    <row r="186" spans="1:2" x14ac:dyDescent="0.55000000000000004">
      <c r="A186" s="1" t="s">
        <v>214</v>
      </c>
      <c r="B186">
        <v>1238911476</v>
      </c>
    </row>
    <row r="187" spans="1:2" x14ac:dyDescent="0.55000000000000004">
      <c r="A187" s="1" t="s">
        <v>213</v>
      </c>
      <c r="B187">
        <v>1238911475</v>
      </c>
    </row>
    <row r="188" spans="1:2" x14ac:dyDescent="0.55000000000000004">
      <c r="A188" s="1" t="s">
        <v>212</v>
      </c>
      <c r="B188">
        <v>1238911474</v>
      </c>
    </row>
    <row r="189" spans="1:2" x14ac:dyDescent="0.55000000000000004">
      <c r="A189" s="1" t="s">
        <v>211</v>
      </c>
      <c r="B189">
        <v>1238911473</v>
      </c>
    </row>
    <row r="190" spans="1:2" x14ac:dyDescent="0.55000000000000004">
      <c r="A190" s="1" t="s">
        <v>210</v>
      </c>
      <c r="B190">
        <v>1238911468</v>
      </c>
    </row>
    <row r="191" spans="1:2" x14ac:dyDescent="0.55000000000000004">
      <c r="A191" s="1" t="s">
        <v>209</v>
      </c>
      <c r="B191">
        <v>1238911466</v>
      </c>
    </row>
    <row r="192" spans="1:2" x14ac:dyDescent="0.55000000000000004">
      <c r="A192" s="1" t="s">
        <v>206</v>
      </c>
      <c r="B192">
        <v>1238911459</v>
      </c>
    </row>
    <row r="193" spans="1:2" x14ac:dyDescent="0.55000000000000004">
      <c r="A193" s="1" t="s">
        <v>204</v>
      </c>
      <c r="B193">
        <v>1238911450</v>
      </c>
    </row>
    <row r="194" spans="1:2" x14ac:dyDescent="0.55000000000000004">
      <c r="A194" s="1" t="s">
        <v>203</v>
      </c>
      <c r="B194">
        <v>1238911447</v>
      </c>
    </row>
    <row r="195" spans="1:2" x14ac:dyDescent="0.55000000000000004">
      <c r="A195" s="1" t="s">
        <v>202</v>
      </c>
      <c r="B195">
        <v>1238911445</v>
      </c>
    </row>
    <row r="196" spans="1:2" x14ac:dyDescent="0.55000000000000004">
      <c r="A196" s="1" t="s">
        <v>201</v>
      </c>
      <c r="B196">
        <v>1238911444</v>
      </c>
    </row>
    <row r="197" spans="1:2" x14ac:dyDescent="0.55000000000000004">
      <c r="A197" s="1" t="s">
        <v>200</v>
      </c>
      <c r="B197">
        <v>1238911440</v>
      </c>
    </row>
    <row r="198" spans="1:2" x14ac:dyDescent="0.55000000000000004">
      <c r="A198" s="1" t="s">
        <v>199</v>
      </c>
      <c r="B198">
        <v>1238911439</v>
      </c>
    </row>
    <row r="199" spans="1:2" x14ac:dyDescent="0.55000000000000004">
      <c r="A199" s="1" t="s">
        <v>197</v>
      </c>
      <c r="B199">
        <v>1238911437</v>
      </c>
    </row>
    <row r="200" spans="1:2" x14ac:dyDescent="0.55000000000000004">
      <c r="A200" s="1" t="s">
        <v>195</v>
      </c>
      <c r="B200">
        <v>1238911430</v>
      </c>
    </row>
    <row r="201" spans="1:2" x14ac:dyDescent="0.55000000000000004">
      <c r="A201" s="1" t="s">
        <v>194</v>
      </c>
      <c r="B201">
        <v>1238911428</v>
      </c>
    </row>
    <row r="202" spans="1:2" x14ac:dyDescent="0.55000000000000004">
      <c r="A202" s="1" t="s">
        <v>193</v>
      </c>
      <c r="B202">
        <v>1238911427</v>
      </c>
    </row>
    <row r="203" spans="1:2" x14ac:dyDescent="0.55000000000000004">
      <c r="A203" s="1" t="s">
        <v>192</v>
      </c>
      <c r="B203">
        <v>1238911426</v>
      </c>
    </row>
    <row r="204" spans="1:2" x14ac:dyDescent="0.55000000000000004">
      <c r="A204" s="1" t="s">
        <v>186</v>
      </c>
      <c r="B204">
        <v>1238911414</v>
      </c>
    </row>
    <row r="205" spans="1:2" x14ac:dyDescent="0.55000000000000004">
      <c r="A205" s="1" t="s">
        <v>184</v>
      </c>
      <c r="B205">
        <v>1238911407</v>
      </c>
    </row>
    <row r="206" spans="1:2" x14ac:dyDescent="0.55000000000000004">
      <c r="A206" s="1" t="s">
        <v>182</v>
      </c>
      <c r="B206">
        <v>1238911404</v>
      </c>
    </row>
    <row r="207" spans="1:2" x14ac:dyDescent="0.55000000000000004">
      <c r="A207" s="1" t="s">
        <v>181</v>
      </c>
      <c r="B207">
        <v>1238911403</v>
      </c>
    </row>
    <row r="208" spans="1:2" x14ac:dyDescent="0.55000000000000004">
      <c r="A208" s="1" t="s">
        <v>180</v>
      </c>
      <c r="B208">
        <v>1238911401</v>
      </c>
    </row>
    <row r="209" spans="1:2" x14ac:dyDescent="0.55000000000000004">
      <c r="A209" s="1" t="s">
        <v>179</v>
      </c>
      <c r="B209">
        <v>1238911400</v>
      </c>
    </row>
    <row r="210" spans="1:2" x14ac:dyDescent="0.55000000000000004">
      <c r="A210" s="1" t="s">
        <v>178</v>
      </c>
      <c r="B210">
        <v>1238911399</v>
      </c>
    </row>
    <row r="211" spans="1:2" x14ac:dyDescent="0.55000000000000004">
      <c r="A211" s="1" t="s">
        <v>177</v>
      </c>
      <c r="B211">
        <v>1238911398</v>
      </c>
    </row>
    <row r="212" spans="1:2" x14ac:dyDescent="0.55000000000000004">
      <c r="A212" s="1" t="s">
        <v>176</v>
      </c>
      <c r="B212">
        <v>1238911396</v>
      </c>
    </row>
    <row r="213" spans="1:2" x14ac:dyDescent="0.55000000000000004">
      <c r="A213" s="1" t="s">
        <v>175</v>
      </c>
      <c r="B213">
        <v>1238911394</v>
      </c>
    </row>
    <row r="214" spans="1:2" x14ac:dyDescent="0.55000000000000004">
      <c r="A214" s="1" t="s">
        <v>174</v>
      </c>
      <c r="B214">
        <v>1238911393</v>
      </c>
    </row>
    <row r="215" spans="1:2" x14ac:dyDescent="0.55000000000000004">
      <c r="A215" s="1" t="s">
        <v>173</v>
      </c>
      <c r="B215">
        <v>1238911392</v>
      </c>
    </row>
    <row r="216" spans="1:2" x14ac:dyDescent="0.55000000000000004">
      <c r="A216" s="1" t="s">
        <v>171</v>
      </c>
      <c r="B216">
        <v>1238911390</v>
      </c>
    </row>
    <row r="217" spans="1:2" x14ac:dyDescent="0.55000000000000004">
      <c r="A217" s="1" t="s">
        <v>170</v>
      </c>
      <c r="B217">
        <v>1238911389</v>
      </c>
    </row>
    <row r="218" spans="1:2" x14ac:dyDescent="0.55000000000000004">
      <c r="A218" s="1" t="s">
        <v>168</v>
      </c>
      <c r="B218">
        <v>1238911385</v>
      </c>
    </row>
    <row r="219" spans="1:2" x14ac:dyDescent="0.55000000000000004">
      <c r="A219" s="1" t="s">
        <v>167</v>
      </c>
      <c r="B219">
        <v>1238911384</v>
      </c>
    </row>
    <row r="220" spans="1:2" x14ac:dyDescent="0.55000000000000004">
      <c r="A220" s="1" t="s">
        <v>165</v>
      </c>
      <c r="B220">
        <v>1238911378</v>
      </c>
    </row>
    <row r="221" spans="1:2" x14ac:dyDescent="0.55000000000000004">
      <c r="A221" s="1" t="s">
        <v>164</v>
      </c>
      <c r="B221">
        <v>1238911377</v>
      </c>
    </row>
    <row r="222" spans="1:2" x14ac:dyDescent="0.55000000000000004">
      <c r="A222" s="1" t="s">
        <v>163</v>
      </c>
      <c r="B222">
        <v>1238911374</v>
      </c>
    </row>
    <row r="223" spans="1:2" x14ac:dyDescent="0.55000000000000004">
      <c r="A223" s="1" t="s">
        <v>160</v>
      </c>
      <c r="B223">
        <v>1238911365</v>
      </c>
    </row>
    <row r="224" spans="1:2" x14ac:dyDescent="0.55000000000000004">
      <c r="A224" s="1" t="s">
        <v>159</v>
      </c>
      <c r="B224">
        <v>1238911364</v>
      </c>
    </row>
    <row r="225" spans="1:2" x14ac:dyDescent="0.55000000000000004">
      <c r="A225" s="1" t="s">
        <v>158</v>
      </c>
      <c r="B225">
        <v>1238911362</v>
      </c>
    </row>
    <row r="226" spans="1:2" x14ac:dyDescent="0.55000000000000004">
      <c r="A226" s="1" t="s">
        <v>156</v>
      </c>
      <c r="B226">
        <v>1238911360</v>
      </c>
    </row>
    <row r="227" spans="1:2" x14ac:dyDescent="0.55000000000000004">
      <c r="A227" s="1" t="s">
        <v>155</v>
      </c>
      <c r="B227">
        <v>1238911359</v>
      </c>
    </row>
    <row r="228" spans="1:2" x14ac:dyDescent="0.55000000000000004">
      <c r="A228" s="1" t="s">
        <v>154</v>
      </c>
      <c r="B228">
        <v>1238911358</v>
      </c>
    </row>
    <row r="229" spans="1:2" x14ac:dyDescent="0.55000000000000004">
      <c r="A229" s="1" t="s">
        <v>153</v>
      </c>
      <c r="B229">
        <v>1238911357</v>
      </c>
    </row>
    <row r="230" spans="1:2" x14ac:dyDescent="0.55000000000000004">
      <c r="A230" s="1" t="s">
        <v>152</v>
      </c>
      <c r="B230">
        <v>1238911356</v>
      </c>
    </row>
    <row r="231" spans="1:2" x14ac:dyDescent="0.55000000000000004">
      <c r="A231" s="1" t="s">
        <v>151</v>
      </c>
      <c r="B231">
        <v>1238911355</v>
      </c>
    </row>
    <row r="232" spans="1:2" x14ac:dyDescent="0.55000000000000004">
      <c r="A232" s="1" t="s">
        <v>150</v>
      </c>
      <c r="B232">
        <v>1238911354</v>
      </c>
    </row>
    <row r="233" spans="1:2" x14ac:dyDescent="0.55000000000000004">
      <c r="A233" s="1" t="s">
        <v>149</v>
      </c>
      <c r="B233">
        <v>1238911353</v>
      </c>
    </row>
    <row r="234" spans="1:2" x14ac:dyDescent="0.55000000000000004">
      <c r="A234" s="1" t="s">
        <v>148</v>
      </c>
      <c r="B234">
        <v>1238911351</v>
      </c>
    </row>
    <row r="235" spans="1:2" x14ac:dyDescent="0.55000000000000004">
      <c r="A235" s="1" t="s">
        <v>147</v>
      </c>
      <c r="B235">
        <v>1238911349</v>
      </c>
    </row>
    <row r="236" spans="1:2" x14ac:dyDescent="0.55000000000000004">
      <c r="A236" s="1" t="s">
        <v>146</v>
      </c>
      <c r="B236">
        <v>1238911347</v>
      </c>
    </row>
    <row r="237" spans="1:2" x14ac:dyDescent="0.55000000000000004">
      <c r="A237" s="1" t="s">
        <v>145</v>
      </c>
      <c r="B237">
        <v>1238911345</v>
      </c>
    </row>
    <row r="238" spans="1:2" x14ac:dyDescent="0.55000000000000004">
      <c r="A238" s="1" t="s">
        <v>143</v>
      </c>
      <c r="B238">
        <v>1238911343</v>
      </c>
    </row>
    <row r="239" spans="1:2" x14ac:dyDescent="0.55000000000000004">
      <c r="A239" s="1" t="s">
        <v>139</v>
      </c>
      <c r="B239">
        <v>1238911335</v>
      </c>
    </row>
    <row r="240" spans="1:2" x14ac:dyDescent="0.55000000000000004">
      <c r="A240" s="1" t="s">
        <v>137</v>
      </c>
      <c r="B240">
        <v>1238911332</v>
      </c>
    </row>
    <row r="241" spans="1:2" x14ac:dyDescent="0.55000000000000004">
      <c r="A241" s="1" t="s">
        <v>135</v>
      </c>
      <c r="B241">
        <v>1238911327</v>
      </c>
    </row>
    <row r="242" spans="1:2" x14ac:dyDescent="0.55000000000000004">
      <c r="A242" s="1" t="s">
        <v>132</v>
      </c>
      <c r="B242">
        <v>1238911315</v>
      </c>
    </row>
    <row r="243" spans="1:2" x14ac:dyDescent="0.55000000000000004">
      <c r="A243" s="1" t="s">
        <v>131</v>
      </c>
      <c r="B243">
        <v>1238911314</v>
      </c>
    </row>
    <row r="244" spans="1:2" x14ac:dyDescent="0.55000000000000004">
      <c r="A244" s="1" t="s">
        <v>130</v>
      </c>
      <c r="B244">
        <v>1238911307</v>
      </c>
    </row>
    <row r="245" spans="1:2" x14ac:dyDescent="0.55000000000000004">
      <c r="A245" s="1" t="s">
        <v>128</v>
      </c>
      <c r="B245">
        <v>1238911301</v>
      </c>
    </row>
    <row r="246" spans="1:2" x14ac:dyDescent="0.55000000000000004">
      <c r="A246" s="1" t="s">
        <v>127</v>
      </c>
      <c r="B246">
        <v>1238911298</v>
      </c>
    </row>
    <row r="247" spans="1:2" x14ac:dyDescent="0.55000000000000004">
      <c r="A247" s="1" t="s">
        <v>126</v>
      </c>
      <c r="B247">
        <v>1238911294</v>
      </c>
    </row>
    <row r="248" spans="1:2" x14ac:dyDescent="0.55000000000000004">
      <c r="A248" s="1" t="s">
        <v>125</v>
      </c>
      <c r="B248">
        <v>1238911292</v>
      </c>
    </row>
    <row r="249" spans="1:2" x14ac:dyDescent="0.55000000000000004">
      <c r="A249" s="1" t="s">
        <v>123</v>
      </c>
      <c r="B249">
        <v>1238911288</v>
      </c>
    </row>
    <row r="250" spans="1:2" x14ac:dyDescent="0.55000000000000004">
      <c r="A250" s="1" t="s">
        <v>122</v>
      </c>
      <c r="B250">
        <v>1238911285</v>
      </c>
    </row>
    <row r="251" spans="1:2" x14ac:dyDescent="0.55000000000000004">
      <c r="A251" s="1" t="s">
        <v>121</v>
      </c>
      <c r="B251">
        <v>1238911284</v>
      </c>
    </row>
    <row r="252" spans="1:2" x14ac:dyDescent="0.55000000000000004">
      <c r="A252" s="1" t="s">
        <v>120</v>
      </c>
      <c r="B252">
        <v>1238911283</v>
      </c>
    </row>
    <row r="253" spans="1:2" x14ac:dyDescent="0.55000000000000004">
      <c r="A253" s="1" t="s">
        <v>119</v>
      </c>
      <c r="B253">
        <v>1238911282</v>
      </c>
    </row>
    <row r="254" spans="1:2" x14ac:dyDescent="0.55000000000000004">
      <c r="A254" s="1" t="s">
        <v>117</v>
      </c>
      <c r="B254">
        <v>1238911277</v>
      </c>
    </row>
    <row r="255" spans="1:2" x14ac:dyDescent="0.55000000000000004">
      <c r="A255" s="1" t="s">
        <v>116</v>
      </c>
      <c r="B255">
        <v>1238911274</v>
      </c>
    </row>
    <row r="256" spans="1:2" x14ac:dyDescent="0.55000000000000004">
      <c r="A256" s="1" t="s">
        <v>115</v>
      </c>
      <c r="B256">
        <v>1238911273</v>
      </c>
    </row>
    <row r="257" spans="1:2" x14ac:dyDescent="0.55000000000000004">
      <c r="A257" s="1" t="s">
        <v>113</v>
      </c>
      <c r="B257">
        <v>1238911270</v>
      </c>
    </row>
    <row r="258" spans="1:2" x14ac:dyDescent="0.55000000000000004">
      <c r="A258" s="1" t="s">
        <v>112</v>
      </c>
      <c r="B258">
        <v>1238911269</v>
      </c>
    </row>
    <row r="259" spans="1:2" x14ac:dyDescent="0.55000000000000004">
      <c r="A259" s="1" t="s">
        <v>110</v>
      </c>
      <c r="B259">
        <v>1238911262</v>
      </c>
    </row>
    <row r="260" spans="1:2" x14ac:dyDescent="0.55000000000000004">
      <c r="A260" s="1" t="s">
        <v>106</v>
      </c>
      <c r="B260">
        <v>1238911252</v>
      </c>
    </row>
    <row r="261" spans="1:2" x14ac:dyDescent="0.55000000000000004">
      <c r="A261" s="1" t="s">
        <v>105</v>
      </c>
      <c r="B261">
        <v>1238911251</v>
      </c>
    </row>
    <row r="262" spans="1:2" x14ac:dyDescent="0.55000000000000004">
      <c r="A262" s="1" t="s">
        <v>104</v>
      </c>
      <c r="B262">
        <v>1238911250</v>
      </c>
    </row>
    <row r="263" spans="1:2" x14ac:dyDescent="0.55000000000000004">
      <c r="A263" s="1" t="s">
        <v>103</v>
      </c>
      <c r="B263">
        <v>1238911248</v>
      </c>
    </row>
    <row r="264" spans="1:2" x14ac:dyDescent="0.55000000000000004">
      <c r="A264" s="1" t="s">
        <v>102</v>
      </c>
      <c r="B264">
        <v>1238911247</v>
      </c>
    </row>
    <row r="265" spans="1:2" x14ac:dyDescent="0.55000000000000004">
      <c r="A265" s="1" t="s">
        <v>101</v>
      </c>
      <c r="B265">
        <v>1238911246</v>
      </c>
    </row>
    <row r="266" spans="1:2" x14ac:dyDescent="0.55000000000000004">
      <c r="A266" s="1" t="s">
        <v>98</v>
      </c>
      <c r="B266">
        <v>1238911239</v>
      </c>
    </row>
    <row r="267" spans="1:2" x14ac:dyDescent="0.55000000000000004">
      <c r="A267" s="1" t="s">
        <v>97</v>
      </c>
      <c r="B267">
        <v>1238911237</v>
      </c>
    </row>
    <row r="268" spans="1:2" x14ac:dyDescent="0.55000000000000004">
      <c r="A268" s="1" t="s">
        <v>95</v>
      </c>
      <c r="B268">
        <v>1238911233</v>
      </c>
    </row>
    <row r="269" spans="1:2" x14ac:dyDescent="0.55000000000000004">
      <c r="A269" s="1" t="s">
        <v>94</v>
      </c>
      <c r="B269">
        <v>1238911232</v>
      </c>
    </row>
    <row r="270" spans="1:2" x14ac:dyDescent="0.55000000000000004">
      <c r="A270" s="1" t="s">
        <v>93</v>
      </c>
      <c r="B270">
        <v>1238911226</v>
      </c>
    </row>
    <row r="271" spans="1:2" x14ac:dyDescent="0.55000000000000004">
      <c r="A271" s="1" t="s">
        <v>89</v>
      </c>
      <c r="B271">
        <v>1238911218</v>
      </c>
    </row>
    <row r="272" spans="1:2" x14ac:dyDescent="0.55000000000000004">
      <c r="A272" s="1" t="s">
        <v>88</v>
      </c>
      <c r="B272">
        <v>1238911213</v>
      </c>
    </row>
    <row r="273" spans="1:2" x14ac:dyDescent="0.55000000000000004">
      <c r="A273" s="1" t="s">
        <v>86</v>
      </c>
      <c r="B273">
        <v>1238911208</v>
      </c>
    </row>
    <row r="274" spans="1:2" x14ac:dyDescent="0.55000000000000004">
      <c r="A274" s="1" t="s">
        <v>82</v>
      </c>
      <c r="B274">
        <v>1238911194</v>
      </c>
    </row>
    <row r="275" spans="1:2" x14ac:dyDescent="0.55000000000000004">
      <c r="A275" s="1" t="s">
        <v>79</v>
      </c>
      <c r="B275">
        <v>1238911186</v>
      </c>
    </row>
    <row r="276" spans="1:2" x14ac:dyDescent="0.55000000000000004">
      <c r="A276" s="1" t="s">
        <v>78</v>
      </c>
      <c r="B276">
        <v>1238911184</v>
      </c>
    </row>
    <row r="277" spans="1:2" x14ac:dyDescent="0.55000000000000004">
      <c r="A277" s="1" t="s">
        <v>77</v>
      </c>
      <c r="B277">
        <v>1238911183</v>
      </c>
    </row>
    <row r="278" spans="1:2" x14ac:dyDescent="0.55000000000000004">
      <c r="A278" s="1" t="s">
        <v>76</v>
      </c>
      <c r="B278">
        <v>1238911181</v>
      </c>
    </row>
    <row r="279" spans="1:2" x14ac:dyDescent="0.55000000000000004">
      <c r="A279" s="1" t="s">
        <v>75</v>
      </c>
      <c r="B279">
        <v>1238911180</v>
      </c>
    </row>
    <row r="280" spans="1:2" x14ac:dyDescent="0.55000000000000004">
      <c r="A280" s="1" t="s">
        <v>71</v>
      </c>
      <c r="B280">
        <v>1238911171</v>
      </c>
    </row>
    <row r="281" spans="1:2" x14ac:dyDescent="0.55000000000000004">
      <c r="A281" s="1" t="s">
        <v>70</v>
      </c>
      <c r="B281">
        <v>1238911170</v>
      </c>
    </row>
    <row r="282" spans="1:2" x14ac:dyDescent="0.55000000000000004">
      <c r="A282" s="1" t="s">
        <v>69</v>
      </c>
      <c r="B282">
        <v>1238911164</v>
      </c>
    </row>
    <row r="283" spans="1:2" x14ac:dyDescent="0.55000000000000004">
      <c r="A283" s="1" t="s">
        <v>67</v>
      </c>
      <c r="B283">
        <v>1238911160</v>
      </c>
    </row>
    <row r="284" spans="1:2" x14ac:dyDescent="0.55000000000000004">
      <c r="A284" s="1" t="s">
        <v>66</v>
      </c>
      <c r="B284">
        <v>1238911158</v>
      </c>
    </row>
    <row r="285" spans="1:2" x14ac:dyDescent="0.55000000000000004">
      <c r="A285" s="1" t="s">
        <v>64</v>
      </c>
      <c r="B285">
        <v>1238911154</v>
      </c>
    </row>
    <row r="286" spans="1:2" x14ac:dyDescent="0.55000000000000004">
      <c r="A286" s="1" t="s">
        <v>61</v>
      </c>
      <c r="B286">
        <v>1238911148</v>
      </c>
    </row>
    <row r="287" spans="1:2" x14ac:dyDescent="0.55000000000000004">
      <c r="A287" s="1" t="s">
        <v>57</v>
      </c>
      <c r="B287">
        <v>1238911128</v>
      </c>
    </row>
    <row r="288" spans="1:2" x14ac:dyDescent="0.55000000000000004">
      <c r="A288" s="1" t="s">
        <v>56</v>
      </c>
      <c r="B288">
        <v>1238911127</v>
      </c>
    </row>
    <row r="289" spans="1:2" x14ac:dyDescent="0.55000000000000004">
      <c r="A289" s="1" t="s">
        <v>55</v>
      </c>
      <c r="B289">
        <v>1238911126</v>
      </c>
    </row>
    <row r="290" spans="1:2" x14ac:dyDescent="0.55000000000000004">
      <c r="A290" s="1" t="s">
        <v>54</v>
      </c>
      <c r="B290">
        <v>1238911122</v>
      </c>
    </row>
    <row r="291" spans="1:2" x14ac:dyDescent="0.55000000000000004">
      <c r="A291" s="1" t="s">
        <v>53</v>
      </c>
      <c r="B291">
        <v>1238911118</v>
      </c>
    </row>
    <row r="292" spans="1:2" x14ac:dyDescent="0.55000000000000004">
      <c r="A292" s="1" t="s">
        <v>52</v>
      </c>
      <c r="B292">
        <v>1238911117</v>
      </c>
    </row>
    <row r="293" spans="1:2" x14ac:dyDescent="0.55000000000000004">
      <c r="A293" s="1" t="s">
        <v>51</v>
      </c>
      <c r="B293">
        <v>1238911116</v>
      </c>
    </row>
    <row r="294" spans="1:2" x14ac:dyDescent="0.55000000000000004">
      <c r="A294" s="1" t="s">
        <v>50</v>
      </c>
      <c r="B294">
        <v>1238911115</v>
      </c>
    </row>
    <row r="295" spans="1:2" x14ac:dyDescent="0.55000000000000004">
      <c r="A295" s="1" t="s">
        <v>46</v>
      </c>
      <c r="B295">
        <v>1238911101</v>
      </c>
    </row>
    <row r="296" spans="1:2" x14ac:dyDescent="0.55000000000000004">
      <c r="A296" s="1" t="s">
        <v>42</v>
      </c>
      <c r="B296">
        <v>1238911093</v>
      </c>
    </row>
    <row r="297" spans="1:2" x14ac:dyDescent="0.55000000000000004">
      <c r="A297" s="1" t="s">
        <v>41</v>
      </c>
      <c r="B297">
        <v>1238911091</v>
      </c>
    </row>
    <row r="298" spans="1:2" x14ac:dyDescent="0.55000000000000004">
      <c r="A298" s="1" t="s">
        <v>40</v>
      </c>
      <c r="B298">
        <v>1238911089</v>
      </c>
    </row>
    <row r="299" spans="1:2" x14ac:dyDescent="0.55000000000000004">
      <c r="A299" s="1" t="s">
        <v>39</v>
      </c>
      <c r="B299">
        <v>1238911084</v>
      </c>
    </row>
    <row r="300" spans="1:2" x14ac:dyDescent="0.55000000000000004">
      <c r="A300" s="1" t="s">
        <v>38</v>
      </c>
      <c r="B300">
        <v>1238911075</v>
      </c>
    </row>
    <row r="301" spans="1:2" x14ac:dyDescent="0.55000000000000004">
      <c r="A301" s="1" t="s">
        <v>37</v>
      </c>
      <c r="B301">
        <v>1238911065</v>
      </c>
    </row>
    <row r="302" spans="1:2" x14ac:dyDescent="0.55000000000000004">
      <c r="A302" s="1" t="s">
        <v>35</v>
      </c>
      <c r="B302">
        <v>1238911059</v>
      </c>
    </row>
    <row r="303" spans="1:2" x14ac:dyDescent="0.55000000000000004">
      <c r="A303" s="1" t="s">
        <v>34</v>
      </c>
      <c r="B303">
        <v>1238911057</v>
      </c>
    </row>
    <row r="304" spans="1:2" x14ac:dyDescent="0.55000000000000004">
      <c r="A304" s="1" t="s">
        <v>29</v>
      </c>
      <c r="B304">
        <v>1238911036</v>
      </c>
    </row>
    <row r="305" spans="1:2" x14ac:dyDescent="0.55000000000000004">
      <c r="A305" s="1" t="s">
        <v>28</v>
      </c>
      <c r="B305">
        <v>1238911031</v>
      </c>
    </row>
    <row r="306" spans="1:2" x14ac:dyDescent="0.55000000000000004">
      <c r="A306" s="1" t="s">
        <v>27</v>
      </c>
      <c r="B306">
        <v>1238911028</v>
      </c>
    </row>
    <row r="307" spans="1:2" x14ac:dyDescent="0.55000000000000004">
      <c r="A307" s="1" t="s">
        <v>24</v>
      </c>
      <c r="B307">
        <v>1238911020</v>
      </c>
    </row>
    <row r="308" spans="1:2" x14ac:dyDescent="0.55000000000000004">
      <c r="A308" s="1" t="s">
        <v>22</v>
      </c>
      <c r="B308">
        <v>1238911016</v>
      </c>
    </row>
    <row r="309" spans="1:2" x14ac:dyDescent="0.55000000000000004">
      <c r="A309" s="1" t="s">
        <v>21</v>
      </c>
      <c r="B309">
        <v>1238911015</v>
      </c>
    </row>
    <row r="310" spans="1:2" x14ac:dyDescent="0.55000000000000004">
      <c r="A310" s="1" t="s">
        <v>16</v>
      </c>
      <c r="B310">
        <v>1238911005</v>
      </c>
    </row>
    <row r="311" spans="1:2" x14ac:dyDescent="0.55000000000000004">
      <c r="A311" s="1" t="s">
        <v>322</v>
      </c>
    </row>
    <row r="312" spans="1:2" x14ac:dyDescent="0.55000000000000004">
      <c r="A312" s="1" t="s">
        <v>323</v>
      </c>
      <c r="B312">
        <v>925466796378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AF0F-7D19-4A70-80FC-DCD94C164A2D}">
  <dimension ref="A3:B357"/>
  <sheetViews>
    <sheetView tabSelected="1" workbookViewId="0">
      <selection activeCell="A219" sqref="A219"/>
    </sheetView>
  </sheetViews>
  <sheetFormatPr defaultRowHeight="14.4" x14ac:dyDescent="0.55000000000000004"/>
  <cols>
    <col min="1" max="1" width="39.3671875" bestFit="1" customWidth="1"/>
    <col min="2" max="2" width="12.9453125" bestFit="1" customWidth="1"/>
  </cols>
  <sheetData>
    <row r="3" spans="1:2" x14ac:dyDescent="0.55000000000000004">
      <c r="A3" s="9" t="s">
        <v>321</v>
      </c>
      <c r="B3" t="s">
        <v>325</v>
      </c>
    </row>
    <row r="4" spans="1:2" x14ac:dyDescent="0.55000000000000004">
      <c r="A4" s="1" t="s">
        <v>12</v>
      </c>
      <c r="B4">
        <v>425199.77500000002</v>
      </c>
    </row>
    <row r="5" spans="1:2" x14ac:dyDescent="0.55000000000000004">
      <c r="A5" s="10" t="s">
        <v>185</v>
      </c>
      <c r="B5">
        <v>65625</v>
      </c>
    </row>
    <row r="6" spans="1:2" x14ac:dyDescent="0.55000000000000004">
      <c r="A6" s="10" t="s">
        <v>231</v>
      </c>
      <c r="B6">
        <v>66300</v>
      </c>
    </row>
    <row r="7" spans="1:2" x14ac:dyDescent="0.55000000000000004">
      <c r="A7" s="10" t="s">
        <v>74</v>
      </c>
      <c r="B7">
        <v>50239.95</v>
      </c>
    </row>
    <row r="8" spans="1:2" x14ac:dyDescent="0.55000000000000004">
      <c r="A8" s="10" t="s">
        <v>306</v>
      </c>
      <c r="B8">
        <v>71292.5</v>
      </c>
    </row>
    <row r="9" spans="1:2" x14ac:dyDescent="0.55000000000000004">
      <c r="A9" s="10" t="s">
        <v>297</v>
      </c>
      <c r="B9">
        <v>68770</v>
      </c>
    </row>
    <row r="10" spans="1:2" x14ac:dyDescent="0.55000000000000004">
      <c r="A10" s="10" t="s">
        <v>248</v>
      </c>
      <c r="B10">
        <v>68750</v>
      </c>
    </row>
    <row r="11" spans="1:2" x14ac:dyDescent="0.55000000000000004">
      <c r="A11" s="10" t="s">
        <v>308</v>
      </c>
      <c r="B11">
        <v>37128</v>
      </c>
    </row>
    <row r="12" spans="1:2" x14ac:dyDescent="0.55000000000000004">
      <c r="A12" s="10" t="s">
        <v>68</v>
      </c>
      <c r="B12">
        <v>68750</v>
      </c>
    </row>
    <row r="13" spans="1:2" x14ac:dyDescent="0.55000000000000004">
      <c r="A13" s="10" t="s">
        <v>133</v>
      </c>
      <c r="B13">
        <v>32396</v>
      </c>
    </row>
    <row r="14" spans="1:2" x14ac:dyDescent="0.55000000000000004">
      <c r="A14" s="10" t="s">
        <v>270</v>
      </c>
      <c r="B14">
        <v>44200</v>
      </c>
    </row>
    <row r="15" spans="1:2" x14ac:dyDescent="0.55000000000000004">
      <c r="A15" s="10" t="s">
        <v>96</v>
      </c>
      <c r="B15">
        <v>31590</v>
      </c>
    </row>
    <row r="16" spans="1:2" x14ac:dyDescent="0.55000000000000004">
      <c r="A16" s="10" t="s">
        <v>180</v>
      </c>
      <c r="B16">
        <v>75000</v>
      </c>
    </row>
    <row r="17" spans="1:2" x14ac:dyDescent="0.55000000000000004">
      <c r="A17" s="10" t="s">
        <v>275</v>
      </c>
      <c r="B17">
        <v>78950</v>
      </c>
    </row>
    <row r="18" spans="1:2" x14ac:dyDescent="0.55000000000000004">
      <c r="A18" s="10" t="s">
        <v>247</v>
      </c>
      <c r="B18">
        <v>43732.5</v>
      </c>
    </row>
    <row r="19" spans="1:2" x14ac:dyDescent="0.55000000000000004">
      <c r="A19" s="10" t="s">
        <v>320</v>
      </c>
      <c r="B19">
        <v>43758</v>
      </c>
    </row>
    <row r="20" spans="1:2" x14ac:dyDescent="0.55000000000000004">
      <c r="A20" s="10" t="s">
        <v>141</v>
      </c>
      <c r="B20">
        <v>75000</v>
      </c>
    </row>
    <row r="21" spans="1:2" x14ac:dyDescent="0.55000000000000004">
      <c r="A21" s="10" t="s">
        <v>230</v>
      </c>
      <c r="B21">
        <v>82342</v>
      </c>
    </row>
    <row r="22" spans="1:2" x14ac:dyDescent="0.55000000000000004">
      <c r="A22" s="10" t="s">
        <v>83</v>
      </c>
      <c r="B22">
        <v>115260.925</v>
      </c>
    </row>
    <row r="23" spans="1:2" x14ac:dyDescent="0.55000000000000004">
      <c r="A23" s="10" t="s">
        <v>164</v>
      </c>
      <c r="B23">
        <v>117500</v>
      </c>
    </row>
    <row r="24" spans="1:2" x14ac:dyDescent="0.55000000000000004">
      <c r="A24" s="10" t="s">
        <v>299</v>
      </c>
      <c r="B24">
        <v>44356</v>
      </c>
    </row>
    <row r="25" spans="1:2" x14ac:dyDescent="0.55000000000000004">
      <c r="A25" s="10" t="s">
        <v>49</v>
      </c>
      <c r="B25">
        <v>31200</v>
      </c>
    </row>
    <row r="26" spans="1:2" x14ac:dyDescent="0.55000000000000004">
      <c r="A26" s="10" t="s">
        <v>62</v>
      </c>
      <c r="B26">
        <v>39390</v>
      </c>
    </row>
    <row r="27" spans="1:2" x14ac:dyDescent="0.55000000000000004">
      <c r="A27" s="10" t="s">
        <v>47</v>
      </c>
      <c r="B27">
        <v>38077.5</v>
      </c>
    </row>
    <row r="28" spans="1:2" x14ac:dyDescent="0.55000000000000004">
      <c r="A28" s="10" t="s">
        <v>87</v>
      </c>
      <c r="B28">
        <v>34320</v>
      </c>
    </row>
    <row r="29" spans="1:2" x14ac:dyDescent="0.55000000000000004">
      <c r="A29" s="10" t="s">
        <v>251</v>
      </c>
      <c r="B29">
        <v>51064</v>
      </c>
    </row>
    <row r="30" spans="1:2" x14ac:dyDescent="0.55000000000000004">
      <c r="A30" s="10" t="s">
        <v>205</v>
      </c>
      <c r="B30">
        <v>62500</v>
      </c>
    </row>
    <row r="31" spans="1:2" x14ac:dyDescent="0.55000000000000004">
      <c r="A31" s="10" t="s">
        <v>16</v>
      </c>
      <c r="B31">
        <v>75000</v>
      </c>
    </row>
    <row r="32" spans="1:2" x14ac:dyDescent="0.55000000000000004">
      <c r="A32" s="10" t="s">
        <v>287</v>
      </c>
      <c r="B32">
        <v>62426</v>
      </c>
    </row>
    <row r="33" spans="1:2" x14ac:dyDescent="0.55000000000000004">
      <c r="A33" s="10" t="s">
        <v>191</v>
      </c>
      <c r="B33">
        <v>80886</v>
      </c>
    </row>
    <row r="34" spans="1:2" x14ac:dyDescent="0.55000000000000004">
      <c r="A34" s="10" t="s">
        <v>63</v>
      </c>
      <c r="B34">
        <v>97479.2</v>
      </c>
    </row>
    <row r="35" spans="1:2" x14ac:dyDescent="0.55000000000000004">
      <c r="A35" s="10" t="s">
        <v>238</v>
      </c>
      <c r="B35">
        <v>75113.75</v>
      </c>
    </row>
    <row r="36" spans="1:2" x14ac:dyDescent="0.55000000000000004">
      <c r="A36" s="10" t="s">
        <v>202</v>
      </c>
      <c r="B36">
        <v>89249.875</v>
      </c>
    </row>
    <row r="37" spans="1:2" x14ac:dyDescent="0.55000000000000004">
      <c r="A37" s="10" t="s">
        <v>93</v>
      </c>
      <c r="B37">
        <v>260100.09999999998</v>
      </c>
    </row>
    <row r="38" spans="1:2" x14ac:dyDescent="0.55000000000000004">
      <c r="A38" s="10" t="s">
        <v>39</v>
      </c>
      <c r="B38">
        <v>281250</v>
      </c>
    </row>
    <row r="39" spans="1:2" x14ac:dyDescent="0.55000000000000004">
      <c r="A39" s="10" t="s">
        <v>119</v>
      </c>
      <c r="B39">
        <v>380842.47499999998</v>
      </c>
    </row>
    <row r="40" spans="1:2" x14ac:dyDescent="0.55000000000000004">
      <c r="A40" s="10" t="s">
        <v>301</v>
      </c>
      <c r="B40">
        <v>48464</v>
      </c>
    </row>
    <row r="41" spans="1:2" x14ac:dyDescent="0.55000000000000004">
      <c r="A41" s="10" t="s">
        <v>194</v>
      </c>
      <c r="B41">
        <v>50050</v>
      </c>
    </row>
    <row r="42" spans="1:2" x14ac:dyDescent="0.55000000000000004">
      <c r="A42" s="10" t="s">
        <v>229</v>
      </c>
      <c r="B42">
        <v>49725</v>
      </c>
    </row>
    <row r="43" spans="1:2" x14ac:dyDescent="0.55000000000000004">
      <c r="A43" s="10" t="s">
        <v>261</v>
      </c>
      <c r="B43">
        <v>70746</v>
      </c>
    </row>
    <row r="44" spans="1:2" x14ac:dyDescent="0.55000000000000004">
      <c r="A44" s="10" t="s">
        <v>280</v>
      </c>
      <c r="B44">
        <v>62500</v>
      </c>
    </row>
    <row r="45" spans="1:2" x14ac:dyDescent="0.55000000000000004">
      <c r="A45" s="10" t="s">
        <v>127</v>
      </c>
      <c r="B45">
        <v>70125</v>
      </c>
    </row>
    <row r="46" spans="1:2" x14ac:dyDescent="0.55000000000000004">
      <c r="A46" s="10" t="s">
        <v>118</v>
      </c>
      <c r="B46">
        <v>49628.875</v>
      </c>
    </row>
    <row r="47" spans="1:2" x14ac:dyDescent="0.55000000000000004">
      <c r="A47" s="10" t="s">
        <v>250</v>
      </c>
      <c r="B47">
        <v>60242</v>
      </c>
    </row>
    <row r="48" spans="1:2" x14ac:dyDescent="0.55000000000000004">
      <c r="A48" s="10" t="s">
        <v>44</v>
      </c>
      <c r="B48">
        <v>42224</v>
      </c>
    </row>
    <row r="49" spans="1:2" x14ac:dyDescent="0.55000000000000004">
      <c r="A49" s="10" t="s">
        <v>58</v>
      </c>
      <c r="B49">
        <v>32343.75</v>
      </c>
    </row>
    <row r="50" spans="1:2" x14ac:dyDescent="0.55000000000000004">
      <c r="A50" s="10" t="s">
        <v>227</v>
      </c>
      <c r="B50">
        <v>61022</v>
      </c>
    </row>
    <row r="51" spans="1:2" x14ac:dyDescent="0.55000000000000004">
      <c r="A51" s="10" t="s">
        <v>142</v>
      </c>
      <c r="B51">
        <v>65000</v>
      </c>
    </row>
    <row r="52" spans="1:2" x14ac:dyDescent="0.55000000000000004">
      <c r="A52" s="10" t="s">
        <v>112</v>
      </c>
      <c r="B52">
        <v>170266.19999999998</v>
      </c>
    </row>
    <row r="53" spans="1:2" x14ac:dyDescent="0.55000000000000004">
      <c r="A53" s="10" t="s">
        <v>116</v>
      </c>
      <c r="B53">
        <v>144103.04999999999</v>
      </c>
    </row>
    <row r="54" spans="1:2" x14ac:dyDescent="0.55000000000000004">
      <c r="A54" s="10" t="s">
        <v>128</v>
      </c>
      <c r="B54">
        <v>146372.52499999999</v>
      </c>
    </row>
    <row r="55" spans="1:2" x14ac:dyDescent="0.55000000000000004">
      <c r="A55" s="10" t="s">
        <v>69</v>
      </c>
      <c r="B55">
        <v>167968.77499999999</v>
      </c>
    </row>
    <row r="56" spans="1:2" x14ac:dyDescent="0.55000000000000004">
      <c r="A56" s="10" t="s">
        <v>35</v>
      </c>
      <c r="B56">
        <v>152059.69999999998</v>
      </c>
    </row>
    <row r="57" spans="1:2" x14ac:dyDescent="0.55000000000000004">
      <c r="A57" s="10" t="s">
        <v>158</v>
      </c>
      <c r="B57">
        <v>182000</v>
      </c>
    </row>
    <row r="58" spans="1:2" x14ac:dyDescent="0.55000000000000004">
      <c r="A58" s="10" t="s">
        <v>97</v>
      </c>
      <c r="B58">
        <v>143771.875</v>
      </c>
    </row>
    <row r="59" spans="1:2" x14ac:dyDescent="0.55000000000000004">
      <c r="A59" s="10" t="s">
        <v>122</v>
      </c>
      <c r="B59">
        <v>187500</v>
      </c>
    </row>
    <row r="60" spans="1:2" x14ac:dyDescent="0.55000000000000004">
      <c r="A60" s="10" t="s">
        <v>221</v>
      </c>
      <c r="B60">
        <v>118978.6</v>
      </c>
    </row>
    <row r="61" spans="1:2" x14ac:dyDescent="0.55000000000000004">
      <c r="A61" s="10" t="s">
        <v>99</v>
      </c>
      <c r="B61">
        <v>144856.07500000001</v>
      </c>
    </row>
    <row r="62" spans="1:2" x14ac:dyDescent="0.55000000000000004">
      <c r="A62" s="10" t="s">
        <v>67</v>
      </c>
      <c r="B62">
        <v>93253.75</v>
      </c>
    </row>
    <row r="63" spans="1:2" x14ac:dyDescent="0.55000000000000004">
      <c r="A63" s="10" t="s">
        <v>131</v>
      </c>
      <c r="B63">
        <v>156250</v>
      </c>
    </row>
    <row r="64" spans="1:2" x14ac:dyDescent="0.55000000000000004">
      <c r="A64" s="10" t="s">
        <v>70</v>
      </c>
      <c r="B64">
        <v>111101.25</v>
      </c>
    </row>
    <row r="65" spans="1:2" x14ac:dyDescent="0.55000000000000004">
      <c r="A65" s="10" t="s">
        <v>217</v>
      </c>
      <c r="B65">
        <v>141625</v>
      </c>
    </row>
    <row r="66" spans="1:2" x14ac:dyDescent="0.55000000000000004">
      <c r="A66" s="10" t="s">
        <v>108</v>
      </c>
      <c r="B66">
        <v>118978.6</v>
      </c>
    </row>
    <row r="67" spans="1:2" x14ac:dyDescent="0.55000000000000004">
      <c r="A67" s="10" t="s">
        <v>143</v>
      </c>
      <c r="B67">
        <v>163152.27500000002</v>
      </c>
    </row>
    <row r="68" spans="1:2" x14ac:dyDescent="0.55000000000000004">
      <c r="A68" s="10" t="s">
        <v>159</v>
      </c>
      <c r="B68">
        <v>111168.85</v>
      </c>
    </row>
    <row r="69" spans="1:2" x14ac:dyDescent="0.55000000000000004">
      <c r="A69" s="10" t="s">
        <v>129</v>
      </c>
      <c r="B69">
        <v>135995.27499999999</v>
      </c>
    </row>
    <row r="70" spans="1:2" x14ac:dyDescent="0.55000000000000004">
      <c r="A70" s="10" t="s">
        <v>311</v>
      </c>
      <c r="B70">
        <v>31927.5</v>
      </c>
    </row>
    <row r="71" spans="1:2" x14ac:dyDescent="0.55000000000000004">
      <c r="A71" s="10" t="s">
        <v>57</v>
      </c>
      <c r="B71">
        <v>92738.75</v>
      </c>
    </row>
    <row r="72" spans="1:2" x14ac:dyDescent="0.55000000000000004">
      <c r="A72" s="10" t="s">
        <v>214</v>
      </c>
      <c r="B72">
        <v>81000</v>
      </c>
    </row>
    <row r="73" spans="1:2" x14ac:dyDescent="0.55000000000000004">
      <c r="A73" s="10" t="s">
        <v>136</v>
      </c>
      <c r="B73">
        <v>97838</v>
      </c>
    </row>
    <row r="74" spans="1:2" x14ac:dyDescent="0.55000000000000004">
      <c r="A74" s="10" t="s">
        <v>190</v>
      </c>
      <c r="B74">
        <v>88114</v>
      </c>
    </row>
    <row r="75" spans="1:2" x14ac:dyDescent="0.55000000000000004">
      <c r="A75" s="10" t="s">
        <v>77</v>
      </c>
      <c r="B75">
        <v>39390</v>
      </c>
    </row>
    <row r="76" spans="1:2" x14ac:dyDescent="0.55000000000000004">
      <c r="A76" s="10" t="s">
        <v>27</v>
      </c>
      <c r="B76">
        <v>93062.5</v>
      </c>
    </row>
    <row r="77" spans="1:2" x14ac:dyDescent="0.55000000000000004">
      <c r="A77" s="10" t="s">
        <v>81</v>
      </c>
      <c r="B77">
        <v>44200</v>
      </c>
    </row>
    <row r="78" spans="1:2" x14ac:dyDescent="0.55000000000000004">
      <c r="A78" s="10" t="s">
        <v>101</v>
      </c>
      <c r="B78">
        <v>262650.05</v>
      </c>
    </row>
    <row r="79" spans="1:2" x14ac:dyDescent="0.55000000000000004">
      <c r="A79" s="10" t="s">
        <v>52</v>
      </c>
      <c r="B79">
        <v>136630</v>
      </c>
    </row>
    <row r="80" spans="1:2" x14ac:dyDescent="0.55000000000000004">
      <c r="A80" s="10" t="s">
        <v>18</v>
      </c>
      <c r="B80">
        <v>27586</v>
      </c>
    </row>
    <row r="81" spans="1:2" x14ac:dyDescent="0.55000000000000004">
      <c r="A81" s="10" t="s">
        <v>31</v>
      </c>
      <c r="B81">
        <v>30238</v>
      </c>
    </row>
    <row r="82" spans="1:2" x14ac:dyDescent="0.55000000000000004">
      <c r="A82" s="10" t="s">
        <v>84</v>
      </c>
      <c r="B82">
        <v>39598</v>
      </c>
    </row>
    <row r="83" spans="1:2" x14ac:dyDescent="0.55000000000000004">
      <c r="A83" s="10" t="s">
        <v>310</v>
      </c>
      <c r="B83">
        <v>31200</v>
      </c>
    </row>
    <row r="84" spans="1:2" x14ac:dyDescent="0.55000000000000004">
      <c r="A84" s="10" t="s">
        <v>298</v>
      </c>
      <c r="B84">
        <v>36972</v>
      </c>
    </row>
    <row r="85" spans="1:2" x14ac:dyDescent="0.55000000000000004">
      <c r="A85" s="10" t="s">
        <v>25</v>
      </c>
      <c r="B85">
        <v>34658</v>
      </c>
    </row>
    <row r="86" spans="1:2" x14ac:dyDescent="0.55000000000000004">
      <c r="A86" s="10" t="s">
        <v>19</v>
      </c>
      <c r="B86">
        <v>67933.774999999994</v>
      </c>
    </row>
    <row r="87" spans="1:2" x14ac:dyDescent="0.55000000000000004">
      <c r="A87" s="10" t="s">
        <v>167</v>
      </c>
      <c r="B87">
        <v>68750</v>
      </c>
    </row>
    <row r="88" spans="1:2" x14ac:dyDescent="0.55000000000000004">
      <c r="A88" s="10" t="s">
        <v>316</v>
      </c>
      <c r="B88">
        <v>27300</v>
      </c>
    </row>
    <row r="89" spans="1:2" x14ac:dyDescent="0.55000000000000004">
      <c r="A89" s="10" t="s">
        <v>296</v>
      </c>
      <c r="B89">
        <v>33800</v>
      </c>
    </row>
    <row r="90" spans="1:2" x14ac:dyDescent="0.55000000000000004">
      <c r="A90" s="10" t="s">
        <v>291</v>
      </c>
      <c r="B90">
        <v>39000</v>
      </c>
    </row>
    <row r="91" spans="1:2" x14ac:dyDescent="0.55000000000000004">
      <c r="A91" s="10" t="s">
        <v>314</v>
      </c>
      <c r="B91">
        <v>34320</v>
      </c>
    </row>
    <row r="92" spans="1:2" x14ac:dyDescent="0.55000000000000004">
      <c r="A92" s="10" t="s">
        <v>317</v>
      </c>
      <c r="B92">
        <v>39000</v>
      </c>
    </row>
    <row r="93" spans="1:2" x14ac:dyDescent="0.55000000000000004">
      <c r="A93" s="10" t="s">
        <v>300</v>
      </c>
      <c r="B93">
        <v>51558</v>
      </c>
    </row>
    <row r="94" spans="1:2" x14ac:dyDescent="0.55000000000000004">
      <c r="A94" s="10" t="s">
        <v>177</v>
      </c>
      <c r="B94">
        <v>98099.625</v>
      </c>
    </row>
    <row r="95" spans="1:2" x14ac:dyDescent="0.55000000000000004">
      <c r="A95" s="10" t="s">
        <v>54</v>
      </c>
      <c r="B95">
        <v>137500</v>
      </c>
    </row>
    <row r="96" spans="1:2" x14ac:dyDescent="0.55000000000000004">
      <c r="A96" s="10" t="s">
        <v>26</v>
      </c>
      <c r="B96">
        <v>101936.25</v>
      </c>
    </row>
    <row r="97" spans="1:2" x14ac:dyDescent="0.55000000000000004">
      <c r="A97" s="10" t="s">
        <v>102</v>
      </c>
      <c r="B97">
        <v>94141.25</v>
      </c>
    </row>
    <row r="98" spans="1:2" x14ac:dyDescent="0.55000000000000004">
      <c r="A98" s="10" t="s">
        <v>60</v>
      </c>
      <c r="B98">
        <v>126250.15</v>
      </c>
    </row>
    <row r="99" spans="1:2" x14ac:dyDescent="0.55000000000000004">
      <c r="A99" s="10" t="s">
        <v>20</v>
      </c>
      <c r="B99">
        <v>67860</v>
      </c>
    </row>
    <row r="100" spans="1:2" x14ac:dyDescent="0.55000000000000004">
      <c r="A100" s="10" t="s">
        <v>283</v>
      </c>
      <c r="B100">
        <v>78750.100000000006</v>
      </c>
    </row>
    <row r="101" spans="1:2" x14ac:dyDescent="0.55000000000000004">
      <c r="A101" s="10" t="s">
        <v>252</v>
      </c>
      <c r="B101">
        <v>52500</v>
      </c>
    </row>
    <row r="102" spans="1:2" x14ac:dyDescent="0.55000000000000004">
      <c r="A102" s="10" t="s">
        <v>114</v>
      </c>
      <c r="B102">
        <v>70941</v>
      </c>
    </row>
    <row r="103" spans="1:2" x14ac:dyDescent="0.55000000000000004">
      <c r="A103" s="10" t="s">
        <v>216</v>
      </c>
      <c r="B103">
        <v>81250</v>
      </c>
    </row>
    <row r="104" spans="1:2" x14ac:dyDescent="0.55000000000000004">
      <c r="A104" s="10" t="s">
        <v>178</v>
      </c>
      <c r="B104">
        <v>78216.25</v>
      </c>
    </row>
    <row r="105" spans="1:2" x14ac:dyDescent="0.55000000000000004">
      <c r="A105" s="10" t="s">
        <v>134</v>
      </c>
      <c r="B105">
        <v>71041.25</v>
      </c>
    </row>
    <row r="106" spans="1:2" x14ac:dyDescent="0.55000000000000004">
      <c r="A106" s="10" t="s">
        <v>244</v>
      </c>
      <c r="B106">
        <v>51740</v>
      </c>
    </row>
    <row r="107" spans="1:2" x14ac:dyDescent="0.55000000000000004">
      <c r="A107" s="10" t="s">
        <v>144</v>
      </c>
      <c r="B107">
        <v>68750</v>
      </c>
    </row>
    <row r="108" spans="1:2" x14ac:dyDescent="0.55000000000000004">
      <c r="A108" s="10" t="s">
        <v>98</v>
      </c>
      <c r="B108">
        <v>62500</v>
      </c>
    </row>
    <row r="109" spans="1:2" x14ac:dyDescent="0.55000000000000004">
      <c r="A109" s="10" t="s">
        <v>200</v>
      </c>
      <c r="B109">
        <v>60000</v>
      </c>
    </row>
    <row r="110" spans="1:2" x14ac:dyDescent="0.55000000000000004">
      <c r="A110" s="10" t="s">
        <v>105</v>
      </c>
      <c r="B110">
        <v>62500</v>
      </c>
    </row>
    <row r="111" spans="1:2" x14ac:dyDescent="0.55000000000000004">
      <c r="A111" s="10" t="s">
        <v>241</v>
      </c>
      <c r="B111">
        <v>60445</v>
      </c>
    </row>
    <row r="112" spans="1:2" x14ac:dyDescent="0.55000000000000004">
      <c r="A112" s="10" t="s">
        <v>148</v>
      </c>
      <c r="B112">
        <v>66187.875</v>
      </c>
    </row>
    <row r="113" spans="1:2" x14ac:dyDescent="0.55000000000000004">
      <c r="A113" s="10" t="s">
        <v>76</v>
      </c>
      <c r="B113">
        <v>137812.35</v>
      </c>
    </row>
    <row r="114" spans="1:2" x14ac:dyDescent="0.55000000000000004">
      <c r="A114" s="10" t="s">
        <v>197</v>
      </c>
      <c r="B114">
        <v>63927.825000000004</v>
      </c>
    </row>
    <row r="115" spans="1:2" x14ac:dyDescent="0.55000000000000004">
      <c r="A115" s="10" t="s">
        <v>186</v>
      </c>
      <c r="B115">
        <v>153518.625</v>
      </c>
    </row>
    <row r="116" spans="1:2" x14ac:dyDescent="0.55000000000000004">
      <c r="A116" s="10" t="s">
        <v>198</v>
      </c>
      <c r="B116">
        <v>62842</v>
      </c>
    </row>
    <row r="117" spans="1:2" x14ac:dyDescent="0.55000000000000004">
      <c r="A117" s="10" t="s">
        <v>224</v>
      </c>
      <c r="B117">
        <v>79890.200000000012</v>
      </c>
    </row>
    <row r="118" spans="1:2" x14ac:dyDescent="0.55000000000000004">
      <c r="A118" s="10" t="s">
        <v>267</v>
      </c>
      <c r="B118">
        <v>67945.474999999991</v>
      </c>
    </row>
    <row r="119" spans="1:2" x14ac:dyDescent="0.55000000000000004">
      <c r="A119" s="10" t="s">
        <v>277</v>
      </c>
      <c r="B119">
        <v>65005.85</v>
      </c>
    </row>
    <row r="120" spans="1:2" x14ac:dyDescent="0.55000000000000004">
      <c r="A120" s="10" t="s">
        <v>78</v>
      </c>
      <c r="B120">
        <v>84150</v>
      </c>
    </row>
    <row r="121" spans="1:2" x14ac:dyDescent="0.55000000000000004">
      <c r="A121" s="10" t="s">
        <v>111</v>
      </c>
      <c r="B121">
        <v>32032</v>
      </c>
    </row>
    <row r="122" spans="1:2" x14ac:dyDescent="0.55000000000000004">
      <c r="A122" s="10" t="s">
        <v>91</v>
      </c>
      <c r="B122">
        <v>51449.399999999994</v>
      </c>
    </row>
    <row r="123" spans="1:2" x14ac:dyDescent="0.55000000000000004">
      <c r="A123" s="10" t="s">
        <v>173</v>
      </c>
      <c r="B123">
        <v>101999.95000000001</v>
      </c>
    </row>
    <row r="124" spans="1:2" x14ac:dyDescent="0.55000000000000004">
      <c r="A124" s="10" t="s">
        <v>196</v>
      </c>
      <c r="B124">
        <v>91961.674999999988</v>
      </c>
    </row>
    <row r="125" spans="1:2" x14ac:dyDescent="0.55000000000000004">
      <c r="A125" s="10" t="s">
        <v>85</v>
      </c>
      <c r="B125">
        <v>79330</v>
      </c>
    </row>
    <row r="126" spans="1:2" x14ac:dyDescent="0.55000000000000004">
      <c r="A126" s="10" t="s">
        <v>209</v>
      </c>
      <c r="B126">
        <v>102790.35</v>
      </c>
    </row>
    <row r="127" spans="1:2" x14ac:dyDescent="0.55000000000000004">
      <c r="A127" s="10" t="s">
        <v>107</v>
      </c>
      <c r="B127">
        <v>35724</v>
      </c>
    </row>
    <row r="128" spans="1:2" x14ac:dyDescent="0.55000000000000004">
      <c r="A128" s="10" t="s">
        <v>72</v>
      </c>
      <c r="B128">
        <v>71150.625</v>
      </c>
    </row>
    <row r="129" spans="1:2" x14ac:dyDescent="0.55000000000000004">
      <c r="A129" s="10" t="s">
        <v>285</v>
      </c>
      <c r="B129">
        <v>33008.75</v>
      </c>
    </row>
    <row r="130" spans="1:2" x14ac:dyDescent="0.55000000000000004">
      <c r="A130" s="10" t="s">
        <v>284</v>
      </c>
      <c r="B130">
        <v>44200</v>
      </c>
    </row>
    <row r="131" spans="1:2" x14ac:dyDescent="0.55000000000000004">
      <c r="A131" s="10" t="s">
        <v>40</v>
      </c>
      <c r="B131">
        <v>39810</v>
      </c>
    </row>
    <row r="132" spans="1:2" x14ac:dyDescent="0.55000000000000004">
      <c r="A132" s="10" t="s">
        <v>135</v>
      </c>
      <c r="B132">
        <v>112500</v>
      </c>
    </row>
    <row r="133" spans="1:2" x14ac:dyDescent="0.55000000000000004">
      <c r="A133" s="10" t="s">
        <v>24</v>
      </c>
      <c r="B133">
        <v>107723.2</v>
      </c>
    </row>
    <row r="134" spans="1:2" x14ac:dyDescent="0.55000000000000004">
      <c r="A134" s="10" t="s">
        <v>28</v>
      </c>
      <c r="B134">
        <v>82875</v>
      </c>
    </row>
    <row r="135" spans="1:2" x14ac:dyDescent="0.55000000000000004">
      <c r="A135" s="10" t="s">
        <v>206</v>
      </c>
      <c r="B135">
        <v>86710</v>
      </c>
    </row>
    <row r="136" spans="1:2" x14ac:dyDescent="0.55000000000000004">
      <c r="A136" s="10" t="s">
        <v>169</v>
      </c>
      <c r="B136">
        <v>88750</v>
      </c>
    </row>
    <row r="137" spans="1:2" x14ac:dyDescent="0.55000000000000004">
      <c r="A137" s="10" t="s">
        <v>33</v>
      </c>
      <c r="B137">
        <v>33800</v>
      </c>
    </row>
    <row r="138" spans="1:2" x14ac:dyDescent="0.55000000000000004">
      <c r="A138" s="10" t="s">
        <v>48</v>
      </c>
      <c r="B138">
        <v>61872.5</v>
      </c>
    </row>
    <row r="139" spans="1:2" x14ac:dyDescent="0.55000000000000004">
      <c r="A139" s="10" t="s">
        <v>179</v>
      </c>
      <c r="B139">
        <v>50654.824999999997</v>
      </c>
    </row>
    <row r="140" spans="1:2" x14ac:dyDescent="0.55000000000000004">
      <c r="A140" s="10" t="s">
        <v>258</v>
      </c>
      <c r="B140">
        <v>91428.75</v>
      </c>
    </row>
    <row r="141" spans="1:2" x14ac:dyDescent="0.55000000000000004">
      <c r="A141" s="10" t="s">
        <v>286</v>
      </c>
      <c r="B141">
        <v>42666</v>
      </c>
    </row>
    <row r="142" spans="1:2" x14ac:dyDescent="0.55000000000000004">
      <c r="A142" s="10" t="s">
        <v>288</v>
      </c>
      <c r="B142">
        <v>56108</v>
      </c>
    </row>
    <row r="143" spans="1:2" x14ac:dyDescent="0.55000000000000004">
      <c r="A143" s="10" t="s">
        <v>264</v>
      </c>
      <c r="B143">
        <v>68750</v>
      </c>
    </row>
    <row r="144" spans="1:2" x14ac:dyDescent="0.55000000000000004">
      <c r="A144" s="10" t="s">
        <v>218</v>
      </c>
      <c r="B144">
        <v>62946</v>
      </c>
    </row>
    <row r="145" spans="1:2" x14ac:dyDescent="0.55000000000000004">
      <c r="A145" s="10" t="s">
        <v>165</v>
      </c>
      <c r="B145">
        <v>53768</v>
      </c>
    </row>
    <row r="146" spans="1:2" x14ac:dyDescent="0.55000000000000004">
      <c r="A146" s="10" t="s">
        <v>199</v>
      </c>
      <c r="B146">
        <v>61204</v>
      </c>
    </row>
    <row r="147" spans="1:2" x14ac:dyDescent="0.55000000000000004">
      <c r="A147" s="10" t="s">
        <v>140</v>
      </c>
      <c r="B147">
        <v>87500</v>
      </c>
    </row>
    <row r="148" spans="1:2" x14ac:dyDescent="0.55000000000000004">
      <c r="A148" s="10" t="s">
        <v>130</v>
      </c>
      <c r="B148">
        <v>87069.45</v>
      </c>
    </row>
    <row r="149" spans="1:2" x14ac:dyDescent="0.55000000000000004">
      <c r="A149" s="10" t="s">
        <v>235</v>
      </c>
      <c r="B149">
        <v>81250</v>
      </c>
    </row>
    <row r="150" spans="1:2" x14ac:dyDescent="0.55000000000000004">
      <c r="A150" s="10" t="s">
        <v>71</v>
      </c>
      <c r="B150">
        <v>113705.7</v>
      </c>
    </row>
    <row r="151" spans="1:2" x14ac:dyDescent="0.55000000000000004">
      <c r="A151" s="10" t="s">
        <v>100</v>
      </c>
      <c r="B151">
        <v>99137.35</v>
      </c>
    </row>
    <row r="152" spans="1:2" x14ac:dyDescent="0.55000000000000004">
      <c r="A152" s="10" t="s">
        <v>138</v>
      </c>
      <c r="B152">
        <v>90176.25</v>
      </c>
    </row>
    <row r="153" spans="1:2" x14ac:dyDescent="0.55000000000000004">
      <c r="A153" s="10" t="s">
        <v>120</v>
      </c>
      <c r="B153">
        <v>171562.5</v>
      </c>
    </row>
    <row r="154" spans="1:2" x14ac:dyDescent="0.55000000000000004">
      <c r="A154" s="10" t="s">
        <v>150</v>
      </c>
      <c r="B154">
        <v>162500</v>
      </c>
    </row>
    <row r="155" spans="1:2" x14ac:dyDescent="0.55000000000000004">
      <c r="A155" s="10" t="s">
        <v>181</v>
      </c>
      <c r="B155">
        <v>87500</v>
      </c>
    </row>
    <row r="156" spans="1:2" x14ac:dyDescent="0.55000000000000004">
      <c r="A156" s="10" t="s">
        <v>153</v>
      </c>
      <c r="B156">
        <v>75000</v>
      </c>
    </row>
    <row r="157" spans="1:2" x14ac:dyDescent="0.55000000000000004">
      <c r="A157" s="10" t="s">
        <v>149</v>
      </c>
      <c r="B157">
        <v>163500.02499999999</v>
      </c>
    </row>
    <row r="158" spans="1:2" x14ac:dyDescent="0.55000000000000004">
      <c r="A158" s="10" t="s">
        <v>152</v>
      </c>
      <c r="B158">
        <v>221063.69999999998</v>
      </c>
    </row>
    <row r="159" spans="1:2" x14ac:dyDescent="0.55000000000000004">
      <c r="A159" s="10" t="s">
        <v>271</v>
      </c>
      <c r="B159">
        <v>96250.049999999988</v>
      </c>
    </row>
    <row r="160" spans="1:2" x14ac:dyDescent="0.55000000000000004">
      <c r="A160" s="10" t="s">
        <v>162</v>
      </c>
      <c r="B160">
        <v>101998</v>
      </c>
    </row>
    <row r="161" spans="1:2" x14ac:dyDescent="0.55000000000000004">
      <c r="A161" s="10" t="s">
        <v>213</v>
      </c>
      <c r="B161">
        <v>97422</v>
      </c>
    </row>
    <row r="162" spans="1:2" x14ac:dyDescent="0.55000000000000004">
      <c r="A162" s="10" t="s">
        <v>157</v>
      </c>
      <c r="B162">
        <v>101504</v>
      </c>
    </row>
    <row r="163" spans="1:2" x14ac:dyDescent="0.55000000000000004">
      <c r="A163" s="10" t="s">
        <v>161</v>
      </c>
      <c r="B163">
        <v>112500</v>
      </c>
    </row>
    <row r="164" spans="1:2" x14ac:dyDescent="0.55000000000000004">
      <c r="A164" s="10" t="s">
        <v>139</v>
      </c>
      <c r="B164">
        <v>112500</v>
      </c>
    </row>
    <row r="165" spans="1:2" x14ac:dyDescent="0.55000000000000004">
      <c r="A165" s="10" t="s">
        <v>145</v>
      </c>
      <c r="B165">
        <v>112500</v>
      </c>
    </row>
    <row r="166" spans="1:2" x14ac:dyDescent="0.55000000000000004">
      <c r="A166" s="10" t="s">
        <v>232</v>
      </c>
      <c r="B166">
        <v>96252</v>
      </c>
    </row>
    <row r="167" spans="1:2" x14ac:dyDescent="0.55000000000000004">
      <c r="A167" s="10" t="s">
        <v>219</v>
      </c>
      <c r="B167">
        <v>83459.974999999991</v>
      </c>
    </row>
    <row r="168" spans="1:2" x14ac:dyDescent="0.55000000000000004">
      <c r="A168" s="10" t="s">
        <v>146</v>
      </c>
      <c r="B168">
        <v>93750</v>
      </c>
    </row>
    <row r="169" spans="1:2" x14ac:dyDescent="0.55000000000000004">
      <c r="A169" s="10" t="s">
        <v>292</v>
      </c>
      <c r="B169">
        <v>52000</v>
      </c>
    </row>
    <row r="170" spans="1:2" x14ac:dyDescent="0.55000000000000004">
      <c r="A170" s="10" t="s">
        <v>257</v>
      </c>
      <c r="B170">
        <v>90000</v>
      </c>
    </row>
    <row r="171" spans="1:2" x14ac:dyDescent="0.55000000000000004">
      <c r="A171" s="10" t="s">
        <v>256</v>
      </c>
      <c r="B171">
        <v>107000.075</v>
      </c>
    </row>
    <row r="172" spans="1:2" x14ac:dyDescent="0.55000000000000004">
      <c r="A172" s="10" t="s">
        <v>303</v>
      </c>
      <c r="B172">
        <v>72878</v>
      </c>
    </row>
    <row r="173" spans="1:2" x14ac:dyDescent="0.55000000000000004">
      <c r="A173" s="10" t="s">
        <v>228</v>
      </c>
      <c r="B173">
        <v>65234</v>
      </c>
    </row>
    <row r="174" spans="1:2" x14ac:dyDescent="0.55000000000000004">
      <c r="A174" s="10" t="s">
        <v>151</v>
      </c>
      <c r="B174">
        <v>105708.85</v>
      </c>
    </row>
    <row r="175" spans="1:2" x14ac:dyDescent="0.55000000000000004">
      <c r="A175" s="10" t="s">
        <v>82</v>
      </c>
      <c r="B175">
        <v>132562.625</v>
      </c>
    </row>
    <row r="176" spans="1:2" x14ac:dyDescent="0.55000000000000004">
      <c r="A176" s="10" t="s">
        <v>94</v>
      </c>
      <c r="B176">
        <v>163363.20000000001</v>
      </c>
    </row>
    <row r="177" spans="1:2" x14ac:dyDescent="0.55000000000000004">
      <c r="A177" s="10" t="s">
        <v>42</v>
      </c>
      <c r="B177">
        <v>87884.5</v>
      </c>
    </row>
    <row r="178" spans="1:2" x14ac:dyDescent="0.55000000000000004">
      <c r="A178" s="10" t="s">
        <v>86</v>
      </c>
      <c r="B178">
        <v>105634.1</v>
      </c>
    </row>
    <row r="179" spans="1:2" x14ac:dyDescent="0.55000000000000004">
      <c r="A179" s="10" t="s">
        <v>160</v>
      </c>
      <c r="B179">
        <v>100000</v>
      </c>
    </row>
    <row r="180" spans="1:2" x14ac:dyDescent="0.55000000000000004">
      <c r="A180" s="10" t="s">
        <v>223</v>
      </c>
      <c r="B180">
        <v>87974.9</v>
      </c>
    </row>
    <row r="181" spans="1:2" x14ac:dyDescent="0.55000000000000004">
      <c r="A181" s="10" t="s">
        <v>55</v>
      </c>
      <c r="B181">
        <v>78693.75</v>
      </c>
    </row>
    <row r="182" spans="1:2" x14ac:dyDescent="0.55000000000000004">
      <c r="A182" s="10" t="s">
        <v>66</v>
      </c>
      <c r="B182">
        <v>117412.425</v>
      </c>
    </row>
    <row r="183" spans="1:2" x14ac:dyDescent="0.55000000000000004">
      <c r="A183" s="10" t="s">
        <v>115</v>
      </c>
      <c r="B183">
        <v>130842.4</v>
      </c>
    </row>
    <row r="184" spans="1:2" x14ac:dyDescent="0.55000000000000004">
      <c r="A184" s="10" t="s">
        <v>155</v>
      </c>
      <c r="B184">
        <v>343331.95</v>
      </c>
    </row>
    <row r="185" spans="1:2" x14ac:dyDescent="0.55000000000000004">
      <c r="A185" s="10" t="s">
        <v>38</v>
      </c>
      <c r="B185">
        <v>425199.77500000002</v>
      </c>
    </row>
    <row r="186" spans="1:2" x14ac:dyDescent="0.55000000000000004">
      <c r="A186" s="10" t="s">
        <v>13</v>
      </c>
      <c r="B186">
        <v>36400</v>
      </c>
    </row>
    <row r="187" spans="1:2" x14ac:dyDescent="0.55000000000000004">
      <c r="A187" s="10" t="s">
        <v>73</v>
      </c>
      <c r="B187">
        <v>54642.25</v>
      </c>
    </row>
    <row r="188" spans="1:2" x14ac:dyDescent="0.55000000000000004">
      <c r="A188" s="10" t="s">
        <v>154</v>
      </c>
      <c r="B188">
        <v>53055.275000000001</v>
      </c>
    </row>
    <row r="189" spans="1:2" x14ac:dyDescent="0.55000000000000004">
      <c r="A189" s="10" t="s">
        <v>126</v>
      </c>
      <c r="B189">
        <v>62865.074999999997</v>
      </c>
    </row>
    <row r="190" spans="1:2" x14ac:dyDescent="0.55000000000000004">
      <c r="A190" s="10" t="s">
        <v>171</v>
      </c>
      <c r="B190">
        <v>55567.524999999994</v>
      </c>
    </row>
    <row r="191" spans="1:2" x14ac:dyDescent="0.55000000000000004">
      <c r="A191" s="10" t="s">
        <v>246</v>
      </c>
      <c r="B191">
        <v>59678.125</v>
      </c>
    </row>
    <row r="192" spans="1:2" x14ac:dyDescent="0.55000000000000004">
      <c r="A192" s="10" t="s">
        <v>259</v>
      </c>
      <c r="B192">
        <v>50076</v>
      </c>
    </row>
    <row r="193" spans="1:2" x14ac:dyDescent="0.55000000000000004">
      <c r="A193" s="10" t="s">
        <v>260</v>
      </c>
      <c r="B193">
        <v>48698</v>
      </c>
    </row>
    <row r="194" spans="1:2" x14ac:dyDescent="0.55000000000000004">
      <c r="A194" s="10" t="s">
        <v>265</v>
      </c>
      <c r="B194">
        <v>52500</v>
      </c>
    </row>
    <row r="195" spans="1:2" x14ac:dyDescent="0.55000000000000004">
      <c r="A195" s="10" t="s">
        <v>23</v>
      </c>
      <c r="B195">
        <v>68750</v>
      </c>
    </row>
    <row r="196" spans="1:2" x14ac:dyDescent="0.55000000000000004">
      <c r="A196" s="10" t="s">
        <v>295</v>
      </c>
      <c r="B196">
        <v>31486.25</v>
      </c>
    </row>
    <row r="197" spans="1:2" x14ac:dyDescent="0.55000000000000004">
      <c r="A197" s="10" t="s">
        <v>187</v>
      </c>
      <c r="B197">
        <v>91000</v>
      </c>
    </row>
    <row r="198" spans="1:2" x14ac:dyDescent="0.55000000000000004">
      <c r="A198" s="10" t="s">
        <v>75</v>
      </c>
      <c r="B198">
        <v>61672</v>
      </c>
    </row>
    <row r="199" spans="1:2" x14ac:dyDescent="0.55000000000000004">
      <c r="A199" s="10" t="s">
        <v>189</v>
      </c>
      <c r="B199">
        <v>62400</v>
      </c>
    </row>
    <row r="200" spans="1:2" x14ac:dyDescent="0.55000000000000004">
      <c r="A200" s="10" t="s">
        <v>45</v>
      </c>
      <c r="B200">
        <v>67964</v>
      </c>
    </row>
    <row r="201" spans="1:2" x14ac:dyDescent="0.55000000000000004">
      <c r="A201" s="10" t="s">
        <v>59</v>
      </c>
      <c r="B201">
        <v>67600</v>
      </c>
    </row>
    <row r="202" spans="1:2" x14ac:dyDescent="0.55000000000000004">
      <c r="A202" s="10" t="s">
        <v>110</v>
      </c>
      <c r="B202">
        <v>93967.5</v>
      </c>
    </row>
    <row r="203" spans="1:2" x14ac:dyDescent="0.55000000000000004">
      <c r="A203" s="10" t="s">
        <v>208</v>
      </c>
      <c r="B203">
        <v>86768.75</v>
      </c>
    </row>
    <row r="204" spans="1:2" x14ac:dyDescent="0.55000000000000004">
      <c r="A204" s="10" t="s">
        <v>294</v>
      </c>
      <c r="B204">
        <v>75010</v>
      </c>
    </row>
    <row r="205" spans="1:2" x14ac:dyDescent="0.55000000000000004">
      <c r="A205" s="10" t="s">
        <v>79</v>
      </c>
      <c r="B205">
        <v>246281.25</v>
      </c>
    </row>
    <row r="206" spans="1:2" x14ac:dyDescent="0.55000000000000004">
      <c r="A206" s="10" t="s">
        <v>124</v>
      </c>
      <c r="B206">
        <v>39000</v>
      </c>
    </row>
    <row r="207" spans="1:2" x14ac:dyDescent="0.55000000000000004">
      <c r="A207" s="10" t="s">
        <v>43</v>
      </c>
      <c r="B207">
        <v>34840</v>
      </c>
    </row>
    <row r="208" spans="1:2" x14ac:dyDescent="0.55000000000000004">
      <c r="A208" s="10" t="s">
        <v>204</v>
      </c>
      <c r="B208">
        <v>39000</v>
      </c>
    </row>
    <row r="209" spans="1:2" x14ac:dyDescent="0.55000000000000004">
      <c r="A209" s="10" t="s">
        <v>15</v>
      </c>
      <c r="B209">
        <v>30030</v>
      </c>
    </row>
    <row r="210" spans="1:2" x14ac:dyDescent="0.55000000000000004">
      <c r="A210" s="10" t="s">
        <v>109</v>
      </c>
      <c r="B210">
        <v>37570</v>
      </c>
    </row>
    <row r="211" spans="1:2" x14ac:dyDescent="0.55000000000000004">
      <c r="A211" s="10" t="s">
        <v>203</v>
      </c>
      <c r="B211">
        <v>41067.5</v>
      </c>
    </row>
    <row r="212" spans="1:2" x14ac:dyDescent="0.55000000000000004">
      <c r="A212" s="10" t="s">
        <v>36</v>
      </c>
      <c r="B212">
        <v>75337.274999999994</v>
      </c>
    </row>
    <row r="213" spans="1:2" x14ac:dyDescent="0.55000000000000004">
      <c r="A213" s="10" t="s">
        <v>156</v>
      </c>
      <c r="B213">
        <v>50000</v>
      </c>
    </row>
    <row r="214" spans="1:2" x14ac:dyDescent="0.55000000000000004">
      <c r="A214" s="10" t="s">
        <v>183</v>
      </c>
      <c r="B214">
        <v>62816</v>
      </c>
    </row>
    <row r="215" spans="1:2" x14ac:dyDescent="0.55000000000000004">
      <c r="A215" s="10" t="s">
        <v>201</v>
      </c>
      <c r="B215">
        <v>69187.625</v>
      </c>
    </row>
    <row r="216" spans="1:2" x14ac:dyDescent="0.55000000000000004">
      <c r="A216" s="10" t="s">
        <v>263</v>
      </c>
      <c r="B216">
        <v>40125</v>
      </c>
    </row>
    <row r="217" spans="1:2" x14ac:dyDescent="0.55000000000000004">
      <c r="A217" s="10" t="s">
        <v>262</v>
      </c>
      <c r="B217">
        <v>62773.100000000006</v>
      </c>
    </row>
    <row r="218" spans="1:2" x14ac:dyDescent="0.55000000000000004">
      <c r="A218" s="10" t="s">
        <v>222</v>
      </c>
      <c r="B218">
        <v>58494.475000000006</v>
      </c>
    </row>
    <row r="219" spans="1:2" x14ac:dyDescent="0.55000000000000004">
      <c r="A219" s="1" t="s">
        <v>14</v>
      </c>
      <c r="B219">
        <v>231875</v>
      </c>
    </row>
    <row r="220" spans="1:2" x14ac:dyDescent="0.55000000000000004">
      <c r="A220" s="10" t="s">
        <v>185</v>
      </c>
      <c r="B220">
        <v>68744</v>
      </c>
    </row>
    <row r="221" spans="1:2" x14ac:dyDescent="0.55000000000000004">
      <c r="A221" s="10" t="s">
        <v>74</v>
      </c>
      <c r="B221">
        <v>56250</v>
      </c>
    </row>
    <row r="222" spans="1:2" x14ac:dyDescent="0.55000000000000004">
      <c r="A222" s="10" t="s">
        <v>248</v>
      </c>
      <c r="B222">
        <v>68750</v>
      </c>
    </row>
    <row r="223" spans="1:2" x14ac:dyDescent="0.55000000000000004">
      <c r="A223" s="10" t="s">
        <v>21</v>
      </c>
      <c r="B223">
        <v>43914</v>
      </c>
    </row>
    <row r="224" spans="1:2" x14ac:dyDescent="0.55000000000000004">
      <c r="A224" s="10" t="s">
        <v>188</v>
      </c>
      <c r="B224">
        <v>39650</v>
      </c>
    </row>
    <row r="225" spans="1:2" x14ac:dyDescent="0.55000000000000004">
      <c r="A225" s="10" t="s">
        <v>30</v>
      </c>
      <c r="B225">
        <v>48317.5</v>
      </c>
    </row>
    <row r="226" spans="1:2" x14ac:dyDescent="0.55000000000000004">
      <c r="A226" s="10" t="s">
        <v>80</v>
      </c>
      <c r="B226">
        <v>45500</v>
      </c>
    </row>
    <row r="227" spans="1:2" x14ac:dyDescent="0.55000000000000004">
      <c r="A227" s="10" t="s">
        <v>132</v>
      </c>
      <c r="B227">
        <v>52494</v>
      </c>
    </row>
    <row r="228" spans="1:2" x14ac:dyDescent="0.55000000000000004">
      <c r="A228" s="10" t="s">
        <v>22</v>
      </c>
      <c r="B228">
        <v>43914</v>
      </c>
    </row>
    <row r="229" spans="1:2" x14ac:dyDescent="0.55000000000000004">
      <c r="A229" s="10" t="s">
        <v>254</v>
      </c>
      <c r="B229">
        <v>56250</v>
      </c>
    </row>
    <row r="230" spans="1:2" x14ac:dyDescent="0.55000000000000004">
      <c r="A230" s="10" t="s">
        <v>163</v>
      </c>
      <c r="B230">
        <v>67028</v>
      </c>
    </row>
    <row r="231" spans="1:2" x14ac:dyDescent="0.55000000000000004">
      <c r="A231" s="10" t="s">
        <v>46</v>
      </c>
      <c r="B231">
        <v>66352</v>
      </c>
    </row>
    <row r="232" spans="1:2" x14ac:dyDescent="0.55000000000000004">
      <c r="A232" s="10" t="s">
        <v>68</v>
      </c>
      <c r="B232">
        <v>64142</v>
      </c>
    </row>
    <row r="233" spans="1:2" x14ac:dyDescent="0.55000000000000004">
      <c r="A233" s="10" t="s">
        <v>103</v>
      </c>
      <c r="B233">
        <v>39390</v>
      </c>
    </row>
    <row r="234" spans="1:2" x14ac:dyDescent="0.55000000000000004">
      <c r="A234" s="10" t="s">
        <v>133</v>
      </c>
      <c r="B234">
        <v>31668</v>
      </c>
    </row>
    <row r="235" spans="1:2" x14ac:dyDescent="0.55000000000000004">
      <c r="A235" s="10" t="s">
        <v>270</v>
      </c>
      <c r="B235">
        <v>48735</v>
      </c>
    </row>
    <row r="236" spans="1:2" x14ac:dyDescent="0.55000000000000004">
      <c r="A236" s="10" t="s">
        <v>29</v>
      </c>
      <c r="B236">
        <v>48490</v>
      </c>
    </row>
    <row r="237" spans="1:2" x14ac:dyDescent="0.55000000000000004">
      <c r="A237" s="10" t="s">
        <v>96</v>
      </c>
      <c r="B237">
        <v>41366</v>
      </c>
    </row>
    <row r="238" spans="1:2" x14ac:dyDescent="0.55000000000000004">
      <c r="A238" s="10" t="s">
        <v>123</v>
      </c>
      <c r="B238">
        <v>45526.25</v>
      </c>
    </row>
    <row r="239" spans="1:2" x14ac:dyDescent="0.55000000000000004">
      <c r="A239" s="10" t="s">
        <v>249</v>
      </c>
      <c r="B239">
        <v>70097.299999999988</v>
      </c>
    </row>
    <row r="240" spans="1:2" x14ac:dyDescent="0.55000000000000004">
      <c r="A240" s="10" t="s">
        <v>220</v>
      </c>
      <c r="B240">
        <v>94484</v>
      </c>
    </row>
    <row r="241" spans="1:2" x14ac:dyDescent="0.55000000000000004">
      <c r="A241" s="10" t="s">
        <v>243</v>
      </c>
      <c r="B241">
        <v>77508.599999999991</v>
      </c>
    </row>
    <row r="242" spans="1:2" x14ac:dyDescent="0.55000000000000004">
      <c r="A242" s="10" t="s">
        <v>247</v>
      </c>
      <c r="B242">
        <v>43732.5</v>
      </c>
    </row>
    <row r="243" spans="1:2" x14ac:dyDescent="0.55000000000000004">
      <c r="A243" s="10" t="s">
        <v>141</v>
      </c>
      <c r="B243">
        <v>80314</v>
      </c>
    </row>
    <row r="244" spans="1:2" x14ac:dyDescent="0.55000000000000004">
      <c r="A244" s="10" t="s">
        <v>289</v>
      </c>
      <c r="B244">
        <v>68744</v>
      </c>
    </row>
    <row r="245" spans="1:2" x14ac:dyDescent="0.55000000000000004">
      <c r="A245" s="10" t="s">
        <v>92</v>
      </c>
      <c r="B245">
        <v>31407.5</v>
      </c>
    </row>
    <row r="246" spans="1:2" x14ac:dyDescent="0.55000000000000004">
      <c r="A246" s="10" t="s">
        <v>87</v>
      </c>
      <c r="B246">
        <v>31980</v>
      </c>
    </row>
    <row r="247" spans="1:2" x14ac:dyDescent="0.55000000000000004">
      <c r="A247" s="10" t="s">
        <v>269</v>
      </c>
      <c r="B247">
        <v>44200</v>
      </c>
    </row>
    <row r="248" spans="1:2" x14ac:dyDescent="0.55000000000000004">
      <c r="A248" s="10" t="s">
        <v>293</v>
      </c>
      <c r="B248">
        <v>33384</v>
      </c>
    </row>
    <row r="249" spans="1:2" x14ac:dyDescent="0.55000000000000004">
      <c r="A249" s="10" t="s">
        <v>195</v>
      </c>
      <c r="B249">
        <v>61875.125</v>
      </c>
    </row>
    <row r="250" spans="1:2" x14ac:dyDescent="0.55000000000000004">
      <c r="A250" s="10" t="s">
        <v>191</v>
      </c>
      <c r="B250">
        <v>64062.5</v>
      </c>
    </row>
    <row r="251" spans="1:2" x14ac:dyDescent="0.55000000000000004">
      <c r="A251" s="10" t="s">
        <v>63</v>
      </c>
      <c r="B251">
        <v>87922.574999999997</v>
      </c>
    </row>
    <row r="252" spans="1:2" x14ac:dyDescent="0.55000000000000004">
      <c r="A252" s="10" t="s">
        <v>207</v>
      </c>
      <c r="B252">
        <v>76759.475000000006</v>
      </c>
    </row>
    <row r="253" spans="1:2" x14ac:dyDescent="0.55000000000000004">
      <c r="A253" s="10" t="s">
        <v>215</v>
      </c>
      <c r="B253">
        <v>81394.625</v>
      </c>
    </row>
    <row r="254" spans="1:2" x14ac:dyDescent="0.55000000000000004">
      <c r="A254" s="10" t="s">
        <v>236</v>
      </c>
      <c r="B254">
        <v>73631.350000000006</v>
      </c>
    </row>
    <row r="255" spans="1:2" x14ac:dyDescent="0.55000000000000004">
      <c r="A255" s="10" t="s">
        <v>41</v>
      </c>
      <c r="B255">
        <v>30673.75</v>
      </c>
    </row>
    <row r="256" spans="1:2" x14ac:dyDescent="0.55000000000000004">
      <c r="A256" s="10" t="s">
        <v>229</v>
      </c>
      <c r="B256">
        <v>49725</v>
      </c>
    </row>
    <row r="257" spans="1:2" x14ac:dyDescent="0.55000000000000004">
      <c r="A257" s="10" t="s">
        <v>280</v>
      </c>
      <c r="B257">
        <v>51506</v>
      </c>
    </row>
    <row r="258" spans="1:2" x14ac:dyDescent="0.55000000000000004">
      <c r="A258" s="10" t="s">
        <v>168</v>
      </c>
      <c r="B258">
        <v>45084</v>
      </c>
    </row>
    <row r="259" spans="1:2" x14ac:dyDescent="0.55000000000000004">
      <c r="A259" s="10" t="s">
        <v>117</v>
      </c>
      <c r="B259">
        <v>46150</v>
      </c>
    </row>
    <row r="260" spans="1:2" x14ac:dyDescent="0.55000000000000004">
      <c r="A260" s="10" t="s">
        <v>113</v>
      </c>
      <c r="B260">
        <v>60000</v>
      </c>
    </row>
    <row r="261" spans="1:2" x14ac:dyDescent="0.55000000000000004">
      <c r="A261" s="10" t="s">
        <v>32</v>
      </c>
      <c r="B261">
        <v>35139</v>
      </c>
    </row>
    <row r="262" spans="1:2" x14ac:dyDescent="0.55000000000000004">
      <c r="A262" s="10" t="s">
        <v>17</v>
      </c>
      <c r="B262">
        <v>46280</v>
      </c>
    </row>
    <row r="263" spans="1:2" x14ac:dyDescent="0.55000000000000004">
      <c r="A263" s="10" t="s">
        <v>61</v>
      </c>
      <c r="B263">
        <v>27686.25</v>
      </c>
    </row>
    <row r="264" spans="1:2" x14ac:dyDescent="0.55000000000000004">
      <c r="A264" s="10" t="s">
        <v>44</v>
      </c>
      <c r="B264">
        <v>37351.25</v>
      </c>
    </row>
    <row r="265" spans="1:2" x14ac:dyDescent="0.55000000000000004">
      <c r="A265" s="10" t="s">
        <v>58</v>
      </c>
      <c r="B265">
        <v>34476</v>
      </c>
    </row>
    <row r="266" spans="1:2" x14ac:dyDescent="0.55000000000000004">
      <c r="A266" s="10" t="s">
        <v>282</v>
      </c>
      <c r="B266">
        <v>34008</v>
      </c>
    </row>
    <row r="267" spans="1:2" x14ac:dyDescent="0.55000000000000004">
      <c r="A267" s="10" t="s">
        <v>318</v>
      </c>
      <c r="B267">
        <v>32343.75</v>
      </c>
    </row>
    <row r="268" spans="1:2" x14ac:dyDescent="0.55000000000000004">
      <c r="A268" s="10" t="s">
        <v>142</v>
      </c>
      <c r="B268">
        <v>52520</v>
      </c>
    </row>
    <row r="269" spans="1:2" x14ac:dyDescent="0.55000000000000004">
      <c r="A269" s="10" t="s">
        <v>234</v>
      </c>
      <c r="B269">
        <v>69781.25</v>
      </c>
    </row>
    <row r="270" spans="1:2" x14ac:dyDescent="0.55000000000000004">
      <c r="A270" s="10" t="s">
        <v>56</v>
      </c>
      <c r="B270">
        <v>174453.17500000002</v>
      </c>
    </row>
    <row r="271" spans="1:2" x14ac:dyDescent="0.55000000000000004">
      <c r="A271" s="10" t="s">
        <v>193</v>
      </c>
      <c r="B271">
        <v>128243.375</v>
      </c>
    </row>
    <row r="272" spans="1:2" x14ac:dyDescent="0.55000000000000004">
      <c r="A272" s="10" t="s">
        <v>184</v>
      </c>
      <c r="B272">
        <v>187500</v>
      </c>
    </row>
    <row r="273" spans="1:2" x14ac:dyDescent="0.55000000000000004">
      <c r="A273" s="10" t="s">
        <v>121</v>
      </c>
      <c r="B273">
        <v>148260.77499999999</v>
      </c>
    </row>
    <row r="274" spans="1:2" x14ac:dyDescent="0.55000000000000004">
      <c r="A274" s="10" t="s">
        <v>125</v>
      </c>
      <c r="B274">
        <v>135000.125</v>
      </c>
    </row>
    <row r="275" spans="1:2" x14ac:dyDescent="0.55000000000000004">
      <c r="A275" s="10" t="s">
        <v>211</v>
      </c>
      <c r="B275">
        <v>110000.15</v>
      </c>
    </row>
    <row r="276" spans="1:2" x14ac:dyDescent="0.55000000000000004">
      <c r="A276" s="10" t="s">
        <v>99</v>
      </c>
      <c r="B276">
        <v>125065.52499999999</v>
      </c>
    </row>
    <row r="277" spans="1:2" x14ac:dyDescent="0.55000000000000004">
      <c r="A277" s="10" t="s">
        <v>174</v>
      </c>
      <c r="B277">
        <v>96532.800000000003</v>
      </c>
    </row>
    <row r="278" spans="1:2" x14ac:dyDescent="0.55000000000000004">
      <c r="A278" s="10" t="s">
        <v>147</v>
      </c>
      <c r="B278">
        <v>190890.05000000002</v>
      </c>
    </row>
    <row r="279" spans="1:2" x14ac:dyDescent="0.55000000000000004">
      <c r="A279" s="10" t="s">
        <v>108</v>
      </c>
      <c r="B279">
        <v>101423.4</v>
      </c>
    </row>
    <row r="280" spans="1:2" x14ac:dyDescent="0.55000000000000004">
      <c r="A280" s="10" t="s">
        <v>233</v>
      </c>
      <c r="B280">
        <v>52494</v>
      </c>
    </row>
    <row r="281" spans="1:2" x14ac:dyDescent="0.55000000000000004">
      <c r="A281" s="10" t="s">
        <v>319</v>
      </c>
      <c r="B281">
        <v>55900</v>
      </c>
    </row>
    <row r="282" spans="1:2" x14ac:dyDescent="0.55000000000000004">
      <c r="A282" s="10" t="s">
        <v>226</v>
      </c>
      <c r="B282">
        <v>68750</v>
      </c>
    </row>
    <row r="283" spans="1:2" x14ac:dyDescent="0.55000000000000004">
      <c r="A283" s="10" t="s">
        <v>315</v>
      </c>
      <c r="B283">
        <v>42900</v>
      </c>
    </row>
    <row r="284" spans="1:2" x14ac:dyDescent="0.55000000000000004">
      <c r="A284" s="10" t="s">
        <v>302</v>
      </c>
      <c r="B284">
        <v>60461.25</v>
      </c>
    </row>
    <row r="285" spans="1:2" x14ac:dyDescent="0.55000000000000004">
      <c r="A285" s="10" t="s">
        <v>81</v>
      </c>
      <c r="B285">
        <v>31486.25</v>
      </c>
    </row>
    <row r="286" spans="1:2" x14ac:dyDescent="0.55000000000000004">
      <c r="A286" s="10" t="s">
        <v>51</v>
      </c>
      <c r="B286">
        <v>39431.25</v>
      </c>
    </row>
    <row r="287" spans="1:2" x14ac:dyDescent="0.55000000000000004">
      <c r="A287" s="10" t="s">
        <v>50</v>
      </c>
      <c r="B287">
        <v>66969.174999999988</v>
      </c>
    </row>
    <row r="288" spans="1:2" x14ac:dyDescent="0.55000000000000004">
      <c r="A288" s="10" t="s">
        <v>90</v>
      </c>
      <c r="B288">
        <v>81250</v>
      </c>
    </row>
    <row r="289" spans="1:2" x14ac:dyDescent="0.55000000000000004">
      <c r="A289" s="10" t="s">
        <v>18</v>
      </c>
      <c r="B289">
        <v>33800</v>
      </c>
    </row>
    <row r="290" spans="1:2" x14ac:dyDescent="0.55000000000000004">
      <c r="A290" s="10" t="s">
        <v>31</v>
      </c>
      <c r="B290">
        <v>31200</v>
      </c>
    </row>
    <row r="291" spans="1:2" x14ac:dyDescent="0.55000000000000004">
      <c r="A291" s="10" t="s">
        <v>25</v>
      </c>
      <c r="B291">
        <v>32266</v>
      </c>
    </row>
    <row r="292" spans="1:2" x14ac:dyDescent="0.55000000000000004">
      <c r="A292" s="10" t="s">
        <v>34</v>
      </c>
      <c r="B292">
        <v>29900</v>
      </c>
    </row>
    <row r="293" spans="1:2" x14ac:dyDescent="0.55000000000000004">
      <c r="A293" s="10" t="s">
        <v>242</v>
      </c>
      <c r="B293">
        <v>49296</v>
      </c>
    </row>
    <row r="294" spans="1:2" x14ac:dyDescent="0.55000000000000004">
      <c r="A294" s="10" t="s">
        <v>26</v>
      </c>
      <c r="B294">
        <v>77809.224999999991</v>
      </c>
    </row>
    <row r="295" spans="1:2" x14ac:dyDescent="0.55000000000000004">
      <c r="A295" s="10" t="s">
        <v>20</v>
      </c>
      <c r="B295">
        <v>67860</v>
      </c>
    </row>
    <row r="296" spans="1:2" x14ac:dyDescent="0.55000000000000004">
      <c r="A296" s="10" t="s">
        <v>253</v>
      </c>
      <c r="B296">
        <v>75237.5</v>
      </c>
    </row>
    <row r="297" spans="1:2" x14ac:dyDescent="0.55000000000000004">
      <c r="A297" s="10" t="s">
        <v>252</v>
      </c>
      <c r="B297">
        <v>61204</v>
      </c>
    </row>
    <row r="298" spans="1:2" x14ac:dyDescent="0.55000000000000004">
      <c r="A298" s="10" t="s">
        <v>114</v>
      </c>
      <c r="B298">
        <v>85692.75</v>
      </c>
    </row>
    <row r="299" spans="1:2" x14ac:dyDescent="0.55000000000000004">
      <c r="A299" s="10" t="s">
        <v>216</v>
      </c>
      <c r="B299">
        <v>67856.25</v>
      </c>
    </row>
    <row r="300" spans="1:2" x14ac:dyDescent="0.55000000000000004">
      <c r="A300" s="10" t="s">
        <v>134</v>
      </c>
      <c r="B300">
        <v>63908</v>
      </c>
    </row>
    <row r="301" spans="1:2" x14ac:dyDescent="0.55000000000000004">
      <c r="A301" s="10" t="s">
        <v>276</v>
      </c>
      <c r="B301">
        <v>58983.75</v>
      </c>
    </row>
    <row r="302" spans="1:2" x14ac:dyDescent="0.55000000000000004">
      <c r="A302" s="10" t="s">
        <v>144</v>
      </c>
      <c r="B302">
        <v>65000</v>
      </c>
    </row>
    <row r="303" spans="1:2" x14ac:dyDescent="0.55000000000000004">
      <c r="A303" s="10" t="s">
        <v>272</v>
      </c>
      <c r="B303">
        <v>60086</v>
      </c>
    </row>
    <row r="304" spans="1:2" x14ac:dyDescent="0.55000000000000004">
      <c r="A304" s="10" t="s">
        <v>225</v>
      </c>
      <c r="B304">
        <v>75000</v>
      </c>
    </row>
    <row r="305" spans="1:2" x14ac:dyDescent="0.55000000000000004">
      <c r="A305" s="10" t="s">
        <v>240</v>
      </c>
      <c r="B305">
        <v>87597.900000000009</v>
      </c>
    </row>
    <row r="306" spans="1:2" x14ac:dyDescent="0.55000000000000004">
      <c r="A306" s="10" t="s">
        <v>175</v>
      </c>
      <c r="B306">
        <v>75750</v>
      </c>
    </row>
    <row r="307" spans="1:2" x14ac:dyDescent="0.55000000000000004">
      <c r="A307" s="10" t="s">
        <v>182</v>
      </c>
      <c r="B307">
        <v>69004</v>
      </c>
    </row>
    <row r="308" spans="1:2" x14ac:dyDescent="0.55000000000000004">
      <c r="A308" s="10" t="s">
        <v>198</v>
      </c>
      <c r="B308">
        <v>76187.5</v>
      </c>
    </row>
    <row r="309" spans="1:2" x14ac:dyDescent="0.55000000000000004">
      <c r="A309" s="10" t="s">
        <v>176</v>
      </c>
      <c r="B309">
        <v>82062.5</v>
      </c>
    </row>
    <row r="310" spans="1:2" x14ac:dyDescent="0.55000000000000004">
      <c r="A310" s="10" t="s">
        <v>95</v>
      </c>
      <c r="B310">
        <v>167187.47500000001</v>
      </c>
    </row>
    <row r="311" spans="1:2" x14ac:dyDescent="0.55000000000000004">
      <c r="A311" s="10" t="s">
        <v>274</v>
      </c>
      <c r="B311">
        <v>45214</v>
      </c>
    </row>
    <row r="312" spans="1:2" x14ac:dyDescent="0.55000000000000004">
      <c r="A312" s="10" t="s">
        <v>245</v>
      </c>
      <c r="B312">
        <v>80162.5</v>
      </c>
    </row>
    <row r="313" spans="1:2" x14ac:dyDescent="0.55000000000000004">
      <c r="A313" s="10" t="s">
        <v>273</v>
      </c>
      <c r="B313">
        <v>72386.925000000003</v>
      </c>
    </row>
    <row r="314" spans="1:2" x14ac:dyDescent="0.55000000000000004">
      <c r="A314" s="10" t="s">
        <v>304</v>
      </c>
      <c r="B314">
        <v>46253.75</v>
      </c>
    </row>
    <row r="315" spans="1:2" x14ac:dyDescent="0.55000000000000004">
      <c r="A315" s="10" t="s">
        <v>107</v>
      </c>
      <c r="B315">
        <v>32994</v>
      </c>
    </row>
    <row r="316" spans="1:2" x14ac:dyDescent="0.55000000000000004">
      <c r="A316" s="10" t="s">
        <v>285</v>
      </c>
      <c r="B316">
        <v>31200</v>
      </c>
    </row>
    <row r="317" spans="1:2" x14ac:dyDescent="0.55000000000000004">
      <c r="A317" s="10" t="s">
        <v>88</v>
      </c>
      <c r="B317">
        <v>44642</v>
      </c>
    </row>
    <row r="318" spans="1:2" x14ac:dyDescent="0.55000000000000004">
      <c r="A318" s="10" t="s">
        <v>33</v>
      </c>
      <c r="B318">
        <v>27300</v>
      </c>
    </row>
    <row r="319" spans="1:2" x14ac:dyDescent="0.55000000000000004">
      <c r="A319" s="10" t="s">
        <v>65</v>
      </c>
      <c r="B319">
        <v>39000</v>
      </c>
    </row>
    <row r="320" spans="1:2" x14ac:dyDescent="0.55000000000000004">
      <c r="A320" s="10" t="s">
        <v>305</v>
      </c>
      <c r="B320">
        <v>39000</v>
      </c>
    </row>
    <row r="321" spans="1:2" x14ac:dyDescent="0.55000000000000004">
      <c r="A321" s="10" t="s">
        <v>48</v>
      </c>
      <c r="B321">
        <v>68271.450000000012</v>
      </c>
    </row>
    <row r="322" spans="1:2" x14ac:dyDescent="0.55000000000000004">
      <c r="A322" s="10" t="s">
        <v>255</v>
      </c>
      <c r="B322">
        <v>68750</v>
      </c>
    </row>
    <row r="323" spans="1:2" x14ac:dyDescent="0.55000000000000004">
      <c r="A323" s="10" t="s">
        <v>37</v>
      </c>
      <c r="B323">
        <v>26520</v>
      </c>
    </row>
    <row r="324" spans="1:2" x14ac:dyDescent="0.55000000000000004">
      <c r="A324" s="10" t="s">
        <v>290</v>
      </c>
      <c r="B324">
        <v>70125</v>
      </c>
    </row>
    <row r="325" spans="1:2" x14ac:dyDescent="0.55000000000000004">
      <c r="A325" s="10" t="s">
        <v>309</v>
      </c>
      <c r="B325">
        <v>55717.5</v>
      </c>
    </row>
    <row r="326" spans="1:2" x14ac:dyDescent="0.55000000000000004">
      <c r="A326" s="10" t="s">
        <v>278</v>
      </c>
      <c r="B326">
        <v>49634</v>
      </c>
    </row>
    <row r="327" spans="1:2" x14ac:dyDescent="0.55000000000000004">
      <c r="A327" s="10" t="s">
        <v>307</v>
      </c>
      <c r="B327">
        <v>49400</v>
      </c>
    </row>
    <row r="328" spans="1:2" x14ac:dyDescent="0.55000000000000004">
      <c r="A328" s="10" t="s">
        <v>172</v>
      </c>
      <c r="B328">
        <v>45084</v>
      </c>
    </row>
    <row r="329" spans="1:2" x14ac:dyDescent="0.55000000000000004">
      <c r="A329" s="10" t="s">
        <v>313</v>
      </c>
      <c r="B329">
        <v>53820</v>
      </c>
    </row>
    <row r="330" spans="1:2" x14ac:dyDescent="0.55000000000000004">
      <c r="A330" s="10" t="s">
        <v>237</v>
      </c>
      <c r="B330">
        <v>75946</v>
      </c>
    </row>
    <row r="331" spans="1:2" x14ac:dyDescent="0.55000000000000004">
      <c r="A331" s="10" t="s">
        <v>137</v>
      </c>
      <c r="B331">
        <v>56263.75</v>
      </c>
    </row>
    <row r="332" spans="1:2" x14ac:dyDescent="0.55000000000000004">
      <c r="A332" s="10" t="s">
        <v>312</v>
      </c>
      <c r="B332">
        <v>50023.75</v>
      </c>
    </row>
    <row r="333" spans="1:2" x14ac:dyDescent="0.55000000000000004">
      <c r="A333" s="10" t="s">
        <v>170</v>
      </c>
      <c r="B333">
        <v>77500</v>
      </c>
    </row>
    <row r="334" spans="1:2" x14ac:dyDescent="0.55000000000000004">
      <c r="A334" s="10" t="s">
        <v>268</v>
      </c>
      <c r="B334">
        <v>86457.8</v>
      </c>
    </row>
    <row r="335" spans="1:2" x14ac:dyDescent="0.55000000000000004">
      <c r="A335" s="10" t="s">
        <v>212</v>
      </c>
      <c r="B335">
        <v>86872.175000000003</v>
      </c>
    </row>
    <row r="336" spans="1:2" x14ac:dyDescent="0.55000000000000004">
      <c r="A336" s="10" t="s">
        <v>210</v>
      </c>
      <c r="B336">
        <v>71993.675000000003</v>
      </c>
    </row>
    <row r="337" spans="1:2" x14ac:dyDescent="0.55000000000000004">
      <c r="A337" s="10" t="s">
        <v>89</v>
      </c>
      <c r="B337">
        <v>143687.5</v>
      </c>
    </row>
    <row r="338" spans="1:2" x14ac:dyDescent="0.55000000000000004">
      <c r="A338" s="10" t="s">
        <v>157</v>
      </c>
      <c r="B338">
        <v>89963.75</v>
      </c>
    </row>
    <row r="339" spans="1:2" x14ac:dyDescent="0.55000000000000004">
      <c r="A339" s="10" t="s">
        <v>292</v>
      </c>
      <c r="B339">
        <v>52000</v>
      </c>
    </row>
    <row r="340" spans="1:2" x14ac:dyDescent="0.55000000000000004">
      <c r="A340" s="10" t="s">
        <v>239</v>
      </c>
      <c r="B340">
        <v>105948.375</v>
      </c>
    </row>
    <row r="341" spans="1:2" x14ac:dyDescent="0.55000000000000004">
      <c r="A341" s="10" t="s">
        <v>104</v>
      </c>
      <c r="B341">
        <v>90410.774999999994</v>
      </c>
    </row>
    <row r="342" spans="1:2" x14ac:dyDescent="0.55000000000000004">
      <c r="A342" s="10" t="s">
        <v>281</v>
      </c>
      <c r="B342">
        <v>61308</v>
      </c>
    </row>
    <row r="343" spans="1:2" x14ac:dyDescent="0.55000000000000004">
      <c r="A343" s="10" t="s">
        <v>266</v>
      </c>
      <c r="B343">
        <v>62998</v>
      </c>
    </row>
    <row r="344" spans="1:2" x14ac:dyDescent="0.55000000000000004">
      <c r="A344" s="10" t="s">
        <v>279</v>
      </c>
      <c r="B344">
        <v>69628</v>
      </c>
    </row>
    <row r="345" spans="1:2" x14ac:dyDescent="0.55000000000000004">
      <c r="A345" s="10" t="s">
        <v>13</v>
      </c>
      <c r="B345">
        <v>31668</v>
      </c>
    </row>
    <row r="346" spans="1:2" x14ac:dyDescent="0.55000000000000004">
      <c r="A346" s="10" t="s">
        <v>73</v>
      </c>
      <c r="B346">
        <v>59193.549999999996</v>
      </c>
    </row>
    <row r="347" spans="1:2" x14ac:dyDescent="0.55000000000000004">
      <c r="A347" s="10" t="s">
        <v>192</v>
      </c>
      <c r="B347">
        <v>83687.5</v>
      </c>
    </row>
    <row r="348" spans="1:2" x14ac:dyDescent="0.55000000000000004">
      <c r="A348" s="10" t="s">
        <v>166</v>
      </c>
      <c r="B348">
        <v>75000</v>
      </c>
    </row>
    <row r="349" spans="1:2" x14ac:dyDescent="0.55000000000000004">
      <c r="A349" s="10" t="s">
        <v>23</v>
      </c>
      <c r="B349">
        <v>74679.475000000006</v>
      </c>
    </row>
    <row r="350" spans="1:2" x14ac:dyDescent="0.55000000000000004">
      <c r="A350" s="10" t="s">
        <v>64</v>
      </c>
      <c r="B350">
        <v>225205.17500000002</v>
      </c>
    </row>
    <row r="351" spans="1:2" x14ac:dyDescent="0.55000000000000004">
      <c r="A351" s="10" t="s">
        <v>53</v>
      </c>
      <c r="B351">
        <v>190526.05</v>
      </c>
    </row>
    <row r="352" spans="1:2" x14ac:dyDescent="0.55000000000000004">
      <c r="A352" s="10" t="s">
        <v>106</v>
      </c>
      <c r="B352">
        <v>231875</v>
      </c>
    </row>
    <row r="353" spans="1:2" x14ac:dyDescent="0.55000000000000004">
      <c r="A353" s="10" t="s">
        <v>36</v>
      </c>
      <c r="B353">
        <v>67423.850000000006</v>
      </c>
    </row>
    <row r="354" spans="1:2" x14ac:dyDescent="0.55000000000000004">
      <c r="A354" s="10" t="s">
        <v>183</v>
      </c>
      <c r="B354">
        <v>66912.5</v>
      </c>
    </row>
    <row r="355" spans="1:2" x14ac:dyDescent="0.55000000000000004">
      <c r="A355" s="1" t="s">
        <v>322</v>
      </c>
    </row>
    <row r="356" spans="1:2" x14ac:dyDescent="0.55000000000000004">
      <c r="A356" s="10" t="s">
        <v>322</v>
      </c>
    </row>
    <row r="357" spans="1:2" x14ac:dyDescent="0.55000000000000004">
      <c r="A357" s="1" t="s">
        <v>323</v>
      </c>
      <c r="B357">
        <v>425199.77500000002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D540-C5CA-4488-BF0F-8B174B50E376}">
  <dimension ref="A1:F34"/>
  <sheetViews>
    <sheetView workbookViewId="0">
      <selection activeCell="P46" sqref="P46"/>
    </sheetView>
  </sheetViews>
  <sheetFormatPr defaultRowHeight="14.4" x14ac:dyDescent="0.55000000000000004"/>
  <cols>
    <col min="2" max="2" width="22.3125" customWidth="1"/>
    <col min="3" max="4" width="11.7890625" bestFit="1" customWidth="1"/>
    <col min="5" max="6" width="10.7890625" bestFit="1" customWidth="1"/>
  </cols>
  <sheetData>
    <row r="1" spans="1:6" ht="20.100000000000001" customHeight="1" x14ac:dyDescent="0.55000000000000004">
      <c r="A1" s="20" t="s">
        <v>326</v>
      </c>
      <c r="B1" s="20"/>
      <c r="C1" s="20"/>
      <c r="D1" s="20"/>
      <c r="E1" s="20"/>
      <c r="F1" s="20"/>
    </row>
    <row r="2" spans="1:6" x14ac:dyDescent="0.55000000000000004">
      <c r="A2" s="18" t="s">
        <v>327</v>
      </c>
      <c r="B2" s="18"/>
      <c r="C2" s="18"/>
      <c r="D2" s="18"/>
      <c r="E2" s="18"/>
      <c r="F2" s="18"/>
    </row>
    <row r="3" spans="1:6" x14ac:dyDescent="0.55000000000000004">
      <c r="A3" s="16" t="s">
        <v>331</v>
      </c>
      <c r="B3" s="16"/>
      <c r="C3" s="16"/>
      <c r="D3" s="16"/>
      <c r="E3" s="16">
        <f>COUNTIF(Census!B:B,"Male")</f>
        <v>321</v>
      </c>
      <c r="F3" s="16"/>
    </row>
    <row r="4" spans="1:6" x14ac:dyDescent="0.55000000000000004">
      <c r="A4" s="16" t="s">
        <v>332</v>
      </c>
      <c r="B4" s="16"/>
      <c r="C4" s="16"/>
      <c r="D4" s="16"/>
      <c r="E4" s="16">
        <f>COUNTIF(Census!B:B,"Female")</f>
        <v>426</v>
      </c>
      <c r="F4" s="16"/>
    </row>
    <row r="5" spans="1:6" ht="20.100000000000001" customHeight="1" x14ac:dyDescent="0.55000000000000004">
      <c r="A5" s="16" t="s">
        <v>333</v>
      </c>
      <c r="B5" s="16"/>
      <c r="C5" s="16"/>
      <c r="D5" s="16"/>
      <c r="E5" s="16">
        <f>E3+E4</f>
        <v>747</v>
      </c>
      <c r="F5" s="16"/>
    </row>
    <row r="6" spans="1:6" x14ac:dyDescent="0.55000000000000004">
      <c r="A6" s="19" t="s">
        <v>330</v>
      </c>
      <c r="B6" s="19"/>
      <c r="C6" s="19"/>
      <c r="D6" s="19"/>
      <c r="E6" s="19"/>
      <c r="F6" s="19"/>
    </row>
    <row r="7" spans="1:6" x14ac:dyDescent="0.55000000000000004">
      <c r="A7" s="18"/>
      <c r="B7" s="18"/>
      <c r="C7" s="18" t="s">
        <v>329</v>
      </c>
      <c r="D7" s="18"/>
      <c r="E7" s="18" t="s">
        <v>328</v>
      </c>
      <c r="F7" s="18"/>
    </row>
    <row r="8" spans="1:6" x14ac:dyDescent="0.55000000000000004">
      <c r="A8" s="16" t="s">
        <v>330</v>
      </c>
      <c r="B8" s="16"/>
      <c r="C8" s="12" t="s">
        <v>14</v>
      </c>
      <c r="D8" s="12" t="s">
        <v>12</v>
      </c>
      <c r="E8" s="12" t="s">
        <v>14</v>
      </c>
      <c r="F8" s="12" t="s">
        <v>12</v>
      </c>
    </row>
    <row r="9" spans="1:6" x14ac:dyDescent="0.55000000000000004">
      <c r="A9" s="16" t="s">
        <v>334</v>
      </c>
      <c r="B9" s="16"/>
      <c r="C9" s="12">
        <f>COUNTIFS(Census!H:H,"&gt;=20000",Census!H:H,"&lt;=50000", Census!B:B, "Male")</f>
        <v>196</v>
      </c>
      <c r="D9" s="12">
        <f>COUNTIFS(Census!H:H,"&gt;=20000",Census!H:H,"&lt;=50000", Census!B:B, "Female")</f>
        <v>164</v>
      </c>
      <c r="E9" s="13">
        <f>C9/E5</f>
        <v>0.26238286479250333</v>
      </c>
      <c r="F9" s="13">
        <f>D9/E5</f>
        <v>0.21954484605087016</v>
      </c>
    </row>
    <row r="10" spans="1:6" x14ac:dyDescent="0.55000000000000004">
      <c r="A10" s="16" t="s">
        <v>343</v>
      </c>
      <c r="B10" s="16"/>
      <c r="C10" s="12">
        <f>COUNTIFS(Census!H:H,"&gt;=50001",Census!H:H,"&lt;=100000", Census!B:B, "Male")</f>
        <v>110</v>
      </c>
      <c r="D10" s="12">
        <f>COUNTIFS(Census!H:H,"&gt;=50001",Census!H:H,"&lt;=100000",Census!B:B,"Female")</f>
        <v>203</v>
      </c>
      <c r="E10" s="13">
        <f>C10/E5</f>
        <v>0.14725568942436412</v>
      </c>
      <c r="F10" s="13">
        <f>D10/E5</f>
        <v>0.2717536813922356</v>
      </c>
    </row>
    <row r="11" spans="1:6" x14ac:dyDescent="0.55000000000000004">
      <c r="A11" s="16" t="s">
        <v>335</v>
      </c>
      <c r="B11" s="16"/>
      <c r="C11" s="12">
        <f>COUNTIFS(Census!H:H,"&gt;=100001",Census!H:H,"&lt;=200000", Census!B:B, "Male")</f>
        <v>13</v>
      </c>
      <c r="D11" s="12">
        <f>COUNTIFS(Census!H:H,"&gt;=100001",Census!H:H,"&lt;=200000", Census!B:B, "Female")</f>
        <v>51</v>
      </c>
      <c r="E11" s="13">
        <f>C11/E5</f>
        <v>1.7402945113788489E-2</v>
      </c>
      <c r="F11" s="13">
        <f>D11/E5</f>
        <v>6.8273092369477914E-2</v>
      </c>
    </row>
    <row r="12" spans="1:6" x14ac:dyDescent="0.55000000000000004">
      <c r="A12" s="16" t="s">
        <v>336</v>
      </c>
      <c r="B12" s="16"/>
      <c r="C12" s="12">
        <f>COUNTIFS(Census!H:H,"&gt;=200001",Census!H:H,"&lt;=300000", Census!B:B, "Male")</f>
        <v>2</v>
      </c>
      <c r="D12" s="12">
        <f>COUNTIFS(Census!H:H,"&gt;=200001",Census!H:H,"&lt;=300000", Census!B:B, "Female")</f>
        <v>5</v>
      </c>
      <c r="E12" s="13">
        <f>C12/E5</f>
        <v>2.6773761713520749E-3</v>
      </c>
      <c r="F12" s="13">
        <f>D12/E5</f>
        <v>6.6934404283801874E-3</v>
      </c>
    </row>
    <row r="13" spans="1:6" x14ac:dyDescent="0.55000000000000004">
      <c r="A13" s="16" t="s">
        <v>337</v>
      </c>
      <c r="B13" s="16"/>
      <c r="C13" s="12">
        <f>COUNTIFS(Census!H:H,"&gt;=300001",Census!H:H,"&lt;=400000", Census!B:B, "Male")</f>
        <v>0</v>
      </c>
      <c r="D13" s="12">
        <f>COUNTIFS(Census!H:H,"&gt;=300001",Census!H:H,"&lt;=400000", Census!B:B, "Female")</f>
        <v>2</v>
      </c>
      <c r="E13" s="13">
        <f>C13/E5</f>
        <v>0</v>
      </c>
      <c r="F13" s="13">
        <f>D13/E5</f>
        <v>2.6773761713520749E-3</v>
      </c>
    </row>
    <row r="14" spans="1:6" x14ac:dyDescent="0.55000000000000004">
      <c r="A14" s="19" t="s">
        <v>338</v>
      </c>
      <c r="B14" s="19"/>
      <c r="C14" s="19"/>
      <c r="D14" s="19"/>
      <c r="E14" s="19"/>
      <c r="F14" s="19"/>
    </row>
    <row r="15" spans="1:6" x14ac:dyDescent="0.55000000000000004">
      <c r="A15" s="18"/>
      <c r="B15" s="18"/>
      <c r="C15" s="18" t="s">
        <v>329</v>
      </c>
      <c r="D15" s="18"/>
      <c r="E15" s="18" t="s">
        <v>339</v>
      </c>
      <c r="F15" s="18"/>
    </row>
    <row r="16" spans="1:6" x14ac:dyDescent="0.55000000000000004">
      <c r="A16" s="16" t="s">
        <v>340</v>
      </c>
      <c r="B16" s="16"/>
      <c r="C16" s="12" t="s">
        <v>14</v>
      </c>
      <c r="D16" s="12" t="s">
        <v>12</v>
      </c>
      <c r="E16" s="12" t="s">
        <v>14</v>
      </c>
      <c r="F16" s="12" t="s">
        <v>12</v>
      </c>
    </row>
    <row r="17" spans="1:6" x14ac:dyDescent="0.55000000000000004">
      <c r="A17" s="16" t="s">
        <v>13</v>
      </c>
      <c r="B17" s="16"/>
      <c r="C17" s="12">
        <f>COUNTIFS(Census!G:G,A17,Census!B:B,"Male")</f>
        <v>60</v>
      </c>
      <c r="D17" s="12">
        <f>COUNTIFS(Census!G:G,A17,Census!B:B,"Female")</f>
        <v>45</v>
      </c>
      <c r="E17" s="14">
        <f>AVERAGEIFS(Census!$H:$H,Census!$G:$G,$A17,Census!$B:$B,"Male")</f>
        <v>28310.541666666668</v>
      </c>
      <c r="F17" s="14">
        <f>AVERAGEIFS(Census!$H:$H,Census!$G:$G,$A17,Census!$B:$B,"Female")</f>
        <v>29874.5</v>
      </c>
    </row>
    <row r="18" spans="1:6" x14ac:dyDescent="0.55000000000000004">
      <c r="A18" s="16" t="s">
        <v>25</v>
      </c>
      <c r="B18" s="16"/>
      <c r="C18" s="12">
        <f>COUNTIFS(Census!G:G,A18,Census!B:B,"Male")</f>
        <v>26</v>
      </c>
      <c r="D18" s="12">
        <f>COUNTIFS(Census!G:G,A18,Census!B:B,"Female")</f>
        <v>11</v>
      </c>
      <c r="E18" s="14">
        <f>AVERAGEIFS(Census!$H:$H,Census!$G:$G,$A18,Census!$B:$B,"Male")</f>
        <v>28510.442307692309</v>
      </c>
      <c r="F18" s="14">
        <f>AVERAGEIFS(Census!$H:$H,Census!$G:$G,$A18,Census!$B:$B,"Female")</f>
        <v>29183.543181818179</v>
      </c>
    </row>
    <row r="19" spans="1:6" x14ac:dyDescent="0.55000000000000004">
      <c r="A19" s="16" t="s">
        <v>44</v>
      </c>
      <c r="B19" s="16"/>
      <c r="C19" s="12">
        <f>COUNTIFS(Census!G:G,A19,Census!B:B,"Male")</f>
        <v>22</v>
      </c>
      <c r="D19" s="12">
        <f>COUNTIFS(Census!G:G,A19,Census!B:B,"Female")</f>
        <v>13</v>
      </c>
      <c r="E19" s="14">
        <f>AVERAGEIFS(Census!$H:$H,Census!$G:$G,$A19,Census!$B:$B,"Male")</f>
        <v>30798.795454545456</v>
      </c>
      <c r="F19" s="14">
        <f>AVERAGEIFS(Census!$H:$H,Census!$G:$G,$A19,Census!$B:$B,"Female")</f>
        <v>33489.788461538461</v>
      </c>
    </row>
    <row r="20" spans="1:6" x14ac:dyDescent="0.55000000000000004">
      <c r="A20" s="16" t="s">
        <v>63</v>
      </c>
      <c r="B20" s="16"/>
      <c r="C20" s="12">
        <f>COUNTIFS(Census!G:G,A20,Census!B:B,"Male")</f>
        <v>6</v>
      </c>
      <c r="D20" s="12">
        <f>COUNTIFS(Census!G:G,A20,Census!B:B,"Female")</f>
        <v>15</v>
      </c>
      <c r="E20" s="14">
        <f>AVERAGEIFS(Census!$H:$H,Census!$G:$G,$A20,Census!$B:$B,"Male")</f>
        <v>79052.262500000012</v>
      </c>
      <c r="F20" s="14">
        <f>AVERAGEIFS(Census!$H:$H,Census!$G:$G,$A20,Census!$B:$B,"Female")</f>
        <v>82293.74500000001</v>
      </c>
    </row>
    <row r="21" spans="1:6" x14ac:dyDescent="0.55000000000000004">
      <c r="A21" s="19" t="s">
        <v>341</v>
      </c>
      <c r="B21" s="19"/>
      <c r="C21" s="19"/>
      <c r="D21" s="19"/>
      <c r="E21" s="11"/>
      <c r="F21" s="11"/>
    </row>
    <row r="22" spans="1:6" x14ac:dyDescent="0.55000000000000004">
      <c r="A22" s="18"/>
      <c r="B22" s="18"/>
      <c r="C22" s="18" t="s">
        <v>342</v>
      </c>
      <c r="D22" s="18"/>
      <c r="E22" s="11"/>
      <c r="F22" s="11"/>
    </row>
    <row r="23" spans="1:6" x14ac:dyDescent="0.55000000000000004">
      <c r="A23" s="16" t="s">
        <v>340</v>
      </c>
      <c r="B23" s="16"/>
      <c r="C23" s="12" t="s">
        <v>14</v>
      </c>
      <c r="D23" s="12" t="s">
        <v>12</v>
      </c>
      <c r="E23" s="11"/>
      <c r="F23" s="11"/>
    </row>
    <row r="24" spans="1:6" x14ac:dyDescent="0.55000000000000004">
      <c r="A24" s="16" t="s">
        <v>38</v>
      </c>
      <c r="B24" s="16"/>
      <c r="C24" s="14">
        <f>SUMIFS(Census!$H:$H,Census!$G:$G,$A24,Census!$B:$B,"Male")</f>
        <v>0</v>
      </c>
      <c r="D24" s="14">
        <f>SUMIFS(Census!$H:$H,Census!$G:$G,$A24,Census!$B:$B,"Female")</f>
        <v>425199.77500000002</v>
      </c>
      <c r="E24" s="11"/>
      <c r="F24" s="11"/>
    </row>
    <row r="25" spans="1:6" x14ac:dyDescent="0.55000000000000004">
      <c r="A25" s="16" t="s">
        <v>119</v>
      </c>
      <c r="B25" s="16"/>
      <c r="C25" s="14">
        <f>SUMIFS(Census!$H:$H,Census!$G:$G,$A25,Census!$B:$B,"Male")</f>
        <v>0</v>
      </c>
      <c r="D25" s="14">
        <f>SUMIFS(Census!$H:$H,Census!$G:$G,$A25,Census!$B:$B,"Female")</f>
        <v>380842.47499999998</v>
      </c>
      <c r="E25" s="11"/>
      <c r="F25" s="11"/>
    </row>
    <row r="26" spans="1:6" x14ac:dyDescent="0.55000000000000004">
      <c r="A26" s="16" t="s">
        <v>155</v>
      </c>
      <c r="B26" s="16"/>
      <c r="C26" s="14">
        <f>SUMIFS(Census!$H:$H,Census!$G:$G,$A26,Census!$B:$B,"Male")</f>
        <v>0</v>
      </c>
      <c r="D26" s="14">
        <f>SUMIFS(Census!$H:$H,Census!$G:$G,$A26,Census!$B:$B,"Female")</f>
        <v>343331.95</v>
      </c>
      <c r="E26" s="11"/>
      <c r="F26" s="11"/>
    </row>
    <row r="27" spans="1:6" x14ac:dyDescent="0.55000000000000004">
      <c r="A27" s="16" t="s">
        <v>39</v>
      </c>
      <c r="B27" s="16"/>
      <c r="C27" s="14">
        <f>SUMIFS(Census!$H:$H,Census!$G:$G,$A27,Census!$B:$B,"Male")</f>
        <v>0</v>
      </c>
      <c r="D27" s="14">
        <f>SUMIFS(Census!$H:$H,Census!$G:$G,$A27,Census!$B:$B,"Female")</f>
        <v>281250</v>
      </c>
      <c r="E27" s="11"/>
      <c r="F27" s="11"/>
    </row>
    <row r="28" spans="1:6" x14ac:dyDescent="0.55000000000000004">
      <c r="A28" s="16" t="s">
        <v>101</v>
      </c>
      <c r="B28" s="16"/>
      <c r="C28" s="14">
        <f>SUMIFS(Census!$H:$H,Census!$G:$G,$A28,Census!$B:$B,"Male")</f>
        <v>0</v>
      </c>
      <c r="D28" s="14">
        <f>SUMIFS(Census!$H:$H,Census!$G:$G,$A28,Census!$B:$B,"Female")</f>
        <v>262650.05</v>
      </c>
      <c r="E28" s="11"/>
      <c r="F28" s="11"/>
    </row>
    <row r="29" spans="1:6" x14ac:dyDescent="0.55000000000000004">
      <c r="A29" s="16" t="s">
        <v>93</v>
      </c>
      <c r="B29" s="16"/>
      <c r="C29" s="14">
        <f>SUMIFS(Census!$H:$H,Census!$G:$G,$A29,Census!$B:$B,"Male")</f>
        <v>0</v>
      </c>
      <c r="D29" s="14">
        <f>SUMIFS(Census!$H:$H,Census!$G:$G,$A29,Census!$B:$B,"Female")</f>
        <v>260100.09999999998</v>
      </c>
      <c r="E29" s="11"/>
      <c r="F29" s="11"/>
    </row>
    <row r="30" spans="1:6" x14ac:dyDescent="0.55000000000000004">
      <c r="A30" s="16" t="s">
        <v>79</v>
      </c>
      <c r="B30" s="16"/>
      <c r="C30" s="14">
        <f>SUMIFS(Census!$H:$H,Census!$G:$G,$A30,Census!$B:$B,"Male")</f>
        <v>0</v>
      </c>
      <c r="D30" s="14">
        <f>SUMIFS(Census!$H:$H,Census!$G:$G,$A30,Census!$B:$B,"Female")</f>
        <v>246281.25</v>
      </c>
      <c r="E30" s="11"/>
      <c r="F30" s="11"/>
    </row>
    <row r="31" spans="1:6" x14ac:dyDescent="0.55000000000000004">
      <c r="A31" s="16" t="s">
        <v>106</v>
      </c>
      <c r="B31" s="16"/>
      <c r="C31" s="14">
        <f>SUMIFS(Census!$H:$H,Census!$G:$G,$A31,Census!$B:$B,"Male")</f>
        <v>231875</v>
      </c>
      <c r="D31" s="14">
        <f>SUMIFS(Census!$H:$H,Census!$G:$G,$A31,Census!$B:$B,"Female")</f>
        <v>0</v>
      </c>
      <c r="E31" s="11"/>
      <c r="F31" s="11"/>
    </row>
    <row r="32" spans="1:6" x14ac:dyDescent="0.55000000000000004">
      <c r="A32" s="16" t="s">
        <v>64</v>
      </c>
      <c r="B32" s="16"/>
      <c r="C32" s="14">
        <f>SUMIFS(Census!$H:$H,Census!$G:$G,$A32,Census!$B:$B,"Male")</f>
        <v>225205.17500000002</v>
      </c>
      <c r="D32" s="14">
        <f>SUMIFS(Census!$H:$H,Census!$G:$G,$A32,Census!$B:$B,"Female")</f>
        <v>0</v>
      </c>
      <c r="E32" s="11"/>
      <c r="F32" s="11"/>
    </row>
    <row r="33" spans="1:6" x14ac:dyDescent="0.55000000000000004">
      <c r="A33" s="16" t="s">
        <v>152</v>
      </c>
      <c r="B33" s="16"/>
      <c r="C33" s="14">
        <f>SUMIFS(Census!$H:$H,Census!$G:$G,$A33,Census!$B:$B,"Male")</f>
        <v>0</v>
      </c>
      <c r="D33" s="14">
        <f>SUMIFS(Census!$H:$H,Census!$G:$G,$A33,Census!$B:$B,"Female")</f>
        <v>221063.69999999998</v>
      </c>
      <c r="E33" s="11"/>
      <c r="F33" s="11"/>
    </row>
    <row r="34" spans="1:6" x14ac:dyDescent="0.55000000000000004">
      <c r="A34" s="17"/>
      <c r="B34" s="17"/>
    </row>
  </sheetData>
  <mergeCells count="42">
    <mergeCell ref="E3:F3"/>
    <mergeCell ref="A2:F2"/>
    <mergeCell ref="A1:F1"/>
    <mergeCell ref="E4:F4"/>
    <mergeCell ref="A3:D3"/>
    <mergeCell ref="A14:F14"/>
    <mergeCell ref="A4:D4"/>
    <mergeCell ref="E5:F5"/>
    <mergeCell ref="A6:F6"/>
    <mergeCell ref="E7:F7"/>
    <mergeCell ref="C7:D7"/>
    <mergeCell ref="A5:D5"/>
    <mergeCell ref="A7:B7"/>
    <mergeCell ref="A8:B8"/>
    <mergeCell ref="A9:B9"/>
    <mergeCell ref="A10:B10"/>
    <mergeCell ref="A11:B11"/>
    <mergeCell ref="A12:B12"/>
    <mergeCell ref="A13:B13"/>
    <mergeCell ref="A25:B25"/>
    <mergeCell ref="C15:D15"/>
    <mergeCell ref="E15:F15"/>
    <mergeCell ref="A16:B16"/>
    <mergeCell ref="A17:B17"/>
    <mergeCell ref="A18:B18"/>
    <mergeCell ref="A19:B19"/>
    <mergeCell ref="A32:B32"/>
    <mergeCell ref="A33:B33"/>
    <mergeCell ref="A34:B34"/>
    <mergeCell ref="A15:B15"/>
    <mergeCell ref="A22:B22"/>
    <mergeCell ref="A26:B26"/>
    <mergeCell ref="A27:B27"/>
    <mergeCell ref="A28:B28"/>
    <mergeCell ref="A29:B29"/>
    <mergeCell ref="A30:B30"/>
    <mergeCell ref="A31:B31"/>
    <mergeCell ref="A20:B20"/>
    <mergeCell ref="A21:D21"/>
    <mergeCell ref="C22:D22"/>
    <mergeCell ref="A23:B23"/>
    <mergeCell ref="A24:B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Census</vt:lpstr>
      <vt:lpstr>Female_Employees</vt:lpstr>
      <vt:lpstr>Male_Employees</vt:lpstr>
      <vt:lpstr>Occupation_Pivot</vt:lpstr>
      <vt:lpstr>Salary_Pivot</vt:lpstr>
      <vt:lpstr>Data_Analysis</vt:lpstr>
    </vt:vector>
  </TitlesOfParts>
  <Company>Cal Poly Pomona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J. Navarrete</dc:creator>
  <cp:lastModifiedBy>Medha Khanal</cp:lastModifiedBy>
  <dcterms:created xsi:type="dcterms:W3CDTF">2018-03-15T01:41:09Z</dcterms:created>
  <dcterms:modified xsi:type="dcterms:W3CDTF">2026-05-13T20:41:45Z</dcterms:modified>
</cp:coreProperties>
</file>